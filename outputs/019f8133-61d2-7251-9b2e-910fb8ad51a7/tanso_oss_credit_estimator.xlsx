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3d2f86ac04d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d3e56049e2e4347"/>
    <x:sheet xmlns:r="http://schemas.openxmlformats.org/officeDocument/2006/relationships" name="Assumptions" sheetId="2" r:id="R5a66c3d4d5424eb8"/>
    <x:sheet xmlns:r="http://schemas.openxmlformats.org/officeDocument/2006/relationships" name="EVE Inputs" sheetId="3" r:id="R1ea1bc6aec42449f"/>
    <x:sheet xmlns:r="http://schemas.openxmlformats.org/officeDocument/2006/relationships" name="Metric Weights" sheetId="4" r:id="Rddad957f9ddc410d"/>
    <x:sheet xmlns:r="http://schemas.openxmlformats.org/officeDocument/2006/relationships" name="Customer Drivers" sheetId="5" r:id="R3d5a0cc4825044d9"/>
    <x:sheet xmlns:r="http://schemas.openxmlformats.org/officeDocument/2006/relationships" name="Scenarios" sheetId="6" r:id="R2eec4bf50ad844ce"/>
    <x:sheet xmlns:r="http://schemas.openxmlformats.org/officeDocument/2006/relationships" name="Plan Design" sheetId="7" r:id="Rf4439319672e47da"/>
    <x:sheet xmlns:r="http://schemas.openxmlformats.org/officeDocument/2006/relationships" name="Calibration" sheetId="8" r:id="Rb4947ccbbb5e439b"/>
  </x:sheets>
</x:workbook>
</file>

<file path=xl/comments1.xml><?xml version="1.0" encoding="utf-8"?>
<x:comments xmlns:x="http://schemas.openxmlformats.org/spreadsheetml/2006/main">
  <x:authors>
    <x:author>tc={4D5748B7-A893-224E-D9B3-CF247E2A0324}</x:author>
    <x:author>tc={208667FD-9F5A-AC98-10DF-A4BC0F949782}</x:author>
    <x:author>tc={0F9970A5-C17A-B8FA-A4D6-98B1650CC270}</x:author>
    <x:author>tc={BC445AA6-A4E3-A4DE-9C7A-8FADD7456C70}</x:author>
    <x:author>tc={ADBAE42A-6076-A133-7D41-2137A70900F8}</x:author>
    <x:author>tc={5ACDDB7B-9B16-5AB4-1AD2-CDE24052878A}</x:author>
  </x:authors>
  <x:commentList>
    <x:comment ref="C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specification: realized price per credit = $0.01. Use this net of fixed platform fees.</x:t>
        </x:r>
      </x:text>
    </x:comment>
    <x:comment ref="C7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specification: target gross margin = 70%.</x:t>
        </x:r>
      </x:text>
    </x:comment>
    <x:comment ref="C8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specification: target value capture = 5%.</x:t>
        </x:r>
      </x:text>
    </x:comment>
    <x:comment ref="C9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specification: maximum value capture = 10%.</x:t>
        </x:r>
      </x:text>
    </x:comment>
    <x:comment ref="C10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specification: credit rounding increment = 1.</x:t>
        </x:r>
      </x:text>
    </x:comment>
    <x:comment ref="C1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specification: allocation buffer = 20%.</x:t>
        </x:r>
      </x:text>
    </x:comment>
  </x:commentList>
</x:comments>
</file>

<file path=xl/comments2.xml><?xml version="1.0" encoding="utf-8"?>
<x:comments xmlns:x="http://schemas.openxmlformats.org/spreadsheetml/2006/main">
  <x:authors>
    <x:author>tc={FD86BA45-FE4A-77A5-FFE7-073BF6EC2B9A}</x:author>
  </x:authors>
  <x:commentList>
    <x:comment ref="M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Worked example: MAX(7 minimum cost credits, 20 value-supported credits) = 20 recommended credits.</x:t>
        </x:r>
      </x:text>
    </x:comment>
  </x:commentList>
</x:comments>
</file>

<file path=xl/comments3.xml><?xml version="1.0" encoding="utf-8"?>
<x:comments xmlns:x="http://schemas.openxmlformats.org/spreadsheetml/2006/main">
  <x:authors>
    <x:author>tc={3D065A71-5F82-418A-4C0F-DFA3815BC903}</x:author>
  </x:authors>
  <x:commentList>
    <x:comment ref="F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Base monthly credits use SUMPRODUCT of customer-driver volume and recommended action credit weights.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#,##0;[Red](#,##0);-"/>
    <x:numFmt numFmtId="202" formatCode="$#,##0;[Red]($#,##0);-"/>
    <x:numFmt numFmtId="203" formatCode="0.0%;[Red](0.0%);-"/>
    <x:numFmt numFmtId="204" formatCode="#,##0.0;[Red](#,##0.0);-"/>
    <x:numFmt numFmtId="205" formatCode="$#,##0.00;[Red]($#,##0.00);-"/>
    <x:numFmt numFmtId="206" formatCode="$0.0000;[Red]($0.0000);-"/>
    <x:numFmt numFmtId="207" formatCode="0.000000"/>
    <x:numFmt numFmtId="208" formatCode="0.00;[Red](0.00);-"/>
  </x:numFmts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sz val="9"/>
      <x:color rgb="FF000000"/>
      <x:name val="Carlito"/>
    </x:font>
    <x:font>
      <x:b/>
      <x:sz val="9"/>
      <x:color rgb="FF475569"/>
      <x:name val="Carlito"/>
    </x:font>
    <x:font>
      <x:sz val="9"/>
      <x:color rgb="FF008000"/>
      <x:name val="Carlito"/>
    </x:font>
    <x:font>
      <x:sz val="10"/>
      <x:name val="Carlito"/>
    </x:font>
    <x:font>
      <x:b/>
      <x:sz val="9"/>
      <x:color rgb="FF0F172A"/>
      <x:name val="Carlito"/>
    </x:font>
    <x:font>
      <x:sz val="9"/>
      <x:name val="Carlito"/>
    </x:font>
    <x:font>
      <x:b/>
      <x:sz val="9"/>
      <x:color rgb="FFFFFFFF"/>
      <x:name val="Carlito"/>
    </x:font>
    <x:font>
      <x:sz val="9"/>
      <x:color rgb="FF475569"/>
      <x:name val="Carlito"/>
    </x:font>
    <x:font>
      <x:sz val="9"/>
      <x:color rgb="FF0000FF"/>
      <x:name val="Carlito"/>
    </x:font>
    <x:font>
      <x:i/>
      <x:sz val="9"/>
      <x:color rgb="FF47556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FF9C4"/>
      </x:patternFill>
    </x:fill>
    <x:fill>
      <x:patternFill patternType="solid">
        <x:fgColor rgb="FFDBEAFE"/>
      </x:patternFill>
    </x:fill>
  </x:fills>
  <x:borders count="8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right style="thin">
        <x:color rgb="FFCBD5E1"/>
      </x:right>
    </x:border>
    <x:border>
      <x:left style="thin">
        <x:color rgb="FFCBD5E1"/>
      </x:left>
      <x:right style="thin">
        <x:color rgb="FFCBD5E1"/>
      </x:right>
    </x:border>
    <x:border>
      <x:left style="thin">
        <x:color rgb="FFCBD5E1"/>
      </x:left>
    </x:border>
    <x:border>
      <x:top style="thin">
        <x:color rgb="FF0F766E"/>
      </x:top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204" fontId="6" fillId="0" borderId="1" xfId="0" applyNumberFormat="1" applyFont="1" applyFill="1" applyBorder="1" applyAlignment="1">
      <x:alignment vertical="center"/>
    </x:xf>
    <x:xf numFmtId="205" fontId="6" fillId="0" borderId="2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3" fontId="6" fillId="0" borderId="3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4" xfId="0" applyNumberFormat="1" applyFont="1" applyFill="1" applyBorder="1"/>
    <x:xf numFmtId="0" fontId="10" fillId="2" borderId="5" xfId="0" applyNumberFormat="1" applyFont="1" applyFill="1" applyBorder="1"/>
    <x:xf numFmtId="0" fontId="10" fillId="2" borderId="6" xfId="0" applyNumberFormat="1" applyFont="1" applyFill="1" applyBorder="1"/>
    <x:xf numFmtId="0" fontId="10" fillId="2" borderId="4" xfId="0" applyNumberFormat="1" applyFont="1" applyFill="1" applyBorder="1" applyAlignment="1">
      <x:alignment wrapText="1"/>
    </x:xf>
    <x:xf numFmtId="0" fontId="10" fillId="2" borderId="5" xfId="0" applyNumberFormat="1" applyFont="1" applyFill="1" applyBorder="1" applyAlignment="1">
      <x:alignment wrapText="1"/>
    </x:xf>
    <x:xf numFmtId="0" fontId="10" fillId="2" borderId="6" xfId="0" applyNumberFormat="1" applyFont="1" applyFill="1" applyBorder="1" applyAlignment="1">
      <x:alignment wrapText="1"/>
    </x:xf>
    <x:xf numFmtId="0" fontId="10" fillId="2" borderId="4" xfId="0" applyNumberFormat="1" applyFont="1" applyFill="1" applyBorder="1" applyAlignment="1">
      <x:alignment horizontal="center" wrapText="1"/>
    </x:xf>
    <x:xf numFmtId="0" fontId="10" fillId="2" borderId="5" xfId="0" applyNumberFormat="1" applyFont="1" applyFill="1" applyBorder="1" applyAlignment="1">
      <x:alignment horizontal="center" wrapText="1"/>
    </x:xf>
    <x:xf numFmtId="0" fontId="10" fillId="2" borderId="6" xfId="0" applyNumberFormat="1" applyFont="1" applyFill="1" applyBorder="1" applyAlignment="1">
      <x:alignment horizontal="center" wrapText="1"/>
    </x:xf>
    <x:xf numFmtId="0" fontId="10" fillId="2" borderId="4" xfId="0" applyNumberFormat="1" applyFont="1" applyFill="1" applyBorder="1" applyAlignment="1">
      <x:alignment horizontal="center" vertical="center" wrapText="1"/>
    </x:xf>
    <x:xf numFmtId="0" fontId="10" fillId="2" borderId="5" xfId="0" applyNumberFormat="1" applyFont="1" applyFill="1" applyBorder="1" applyAlignment="1">
      <x:alignment horizontal="center" vertical="center" wrapText="1"/>
    </x:xf>
    <x:xf numFmtId="0" fontId="10" fillId="2" borderId="6" xfId="0" applyNumberFormat="1" applyFont="1" applyFill="1" applyBorder="1" applyAlignment="1">
      <x:alignment horizontal="center" vertical="center" wrapText="1"/>
    </x:xf>
    <x:xf numFmtId="205" fontId="6" fillId="0" borderId="1" xfId="0" applyNumberFormat="1" applyFont="1" applyFill="1" applyBorder="1" applyAlignment="1">
      <x:alignment vertical="center"/>
    </x:xf>
    <x:xf numFmtId="206" fontId="4" fillId="0" borderId="1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7" fontId="6" fillId="0" borderId="2" xfId="0" applyNumberFormat="1" applyFont="1" applyFill="1" applyBorder="1" applyAlignment="1">
      <x:alignment vertical="center"/>
    </x:xf>
    <x:xf numFmtId="207" fontId="4" fillId="0" borderId="2" xfId="0" applyNumberFormat="1" applyFont="1" applyFill="1" applyBorder="1" applyAlignment="1">
      <x:alignment vertical="center"/>
    </x:xf>
    <x:xf numFmtId="203" fontId="4" fillId="0" borderId="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/>
    </x:xf>
    <x:xf numFmtId="0" fontId="4" fillId="6" borderId="2" xfId="0" applyNumberFormat="1" applyFont="1" applyFill="1" applyBorder="1" applyAlignment="1">
      <x:alignment vertical="center"/>
    </x:xf>
    <x:xf numFmtId="0" fontId="4" fillId="6" borderId="3" xfId="0" applyNumberFormat="1" applyFont="1" applyFill="1" applyBorder="1" applyAlignment="1">
      <x:alignment vertical="center"/>
    </x:xf>
    <x:xf numFmtId="0" fontId="12" fillId="6" borderId="1" xfId="0" applyNumberFormat="1" applyFont="1" applyFill="1" applyBorder="1" applyAlignment="1">
      <x:alignment vertical="center"/>
    </x:xf>
    <x:xf numFmtId="0" fontId="12" fillId="6" borderId="2" xfId="0" applyNumberFormat="1" applyFont="1" applyFill="1" applyBorder="1" applyAlignment="1">
      <x:alignment vertical="center"/>
    </x:xf>
    <x:xf numFmtId="0" fontId="12" fillId="6" borderId="3" xfId="0" applyNumberFormat="1" applyFont="1" applyFill="1" applyBorder="1" applyAlignment="1">
      <x:alignment vertical="center"/>
    </x:xf>
    <x:xf numFmtId="205" fontId="12" fillId="6" borderId="1" xfId="0" applyNumberFormat="1" applyFont="1" applyFill="1" applyBorder="1" applyAlignment="1">
      <x:alignment vertical="center"/>
    </x:xf>
    <x:xf numFmtId="203" fontId="12" fillId="6" borderId="2" xfId="0" applyNumberFormat="1" applyFont="1" applyFill="1" applyBorder="1" applyAlignment="1">
      <x:alignment vertical="center"/>
    </x:xf>
    <x:xf numFmtId="201" fontId="12" fillId="6" borderId="2" xfId="0" applyNumberFormat="1" applyFont="1" applyFill="1" applyBorder="1" applyAlignment="1">
      <x:alignment vertical="center"/>
    </x:xf>
    <x:xf numFmtId="206" fontId="12" fillId="6" borderId="3" xfId="0" applyNumberFormat="1" applyFont="1" applyFill="1" applyBorder="1" applyAlignment="1">
      <x:alignment vertical="center"/>
    </x:xf>
    <x:xf numFmtId="203" fontId="12" fillId="6" borderId="1" xfId="0" applyNumberFormat="1" applyFont="1" applyFill="1" applyBorder="1" applyAlignment="1">
      <x:alignment vertical="center"/>
    </x:xf>
    <x:xf numFmtId="203" fontId="12" fillId="6" borderId="3" xfId="0" applyNumberFormat="1" applyFont="1" applyFill="1" applyBorder="1" applyAlignment="1">
      <x:alignment vertical="center"/>
    </x:xf>
    <x:xf numFmtId="202" fontId="12" fillId="6" borderId="1" xfId="0" applyNumberFormat="1" applyFont="1" applyFill="1" applyBorder="1" applyAlignment="1">
      <x:alignment vertical="center"/>
    </x:xf>
    <x:xf numFmtId="202" fontId="12" fillId="6" borderId="2" xfId="0" applyNumberFormat="1" applyFont="1" applyFill="1" applyBorder="1" applyAlignment="1">
      <x:alignment vertical="center"/>
    </x:xf>
    <x:xf numFmtId="202" fontId="12" fillId="6" borderId="3" xfId="0" applyNumberFormat="1" applyFont="1" applyFill="1" applyBorder="1" applyAlignment="1">
      <x:alignment vertical="center"/>
    </x:xf>
    <x:xf numFmtId="201" fontId="12" fillId="6" borderId="1" xfId="0" applyNumberFormat="1" applyFont="1" applyFill="1" applyBorder="1" applyAlignment="1">
      <x:alignment vertical="center"/>
    </x:xf>
    <x:xf numFmtId="201" fontId="12" fillId="6" borderId="3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2" fontId="4" fillId="0" borderId="3" xfId="0" applyNumberFormat="1" applyFont="1" applyFill="1" applyBorder="1" applyAlignment="1">
      <x:alignment vertical="center"/>
    </x:xf>
    <x:xf numFmtId="205" fontId="4" fillId="0" borderId="1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  <x:xf numFmtId="205" fontId="4" fillId="0" borderId="3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206" fontId="12" fillId="6" borderId="1" xfId="0" applyNumberFormat="1" applyFont="1" applyFill="1" applyBorder="1" applyAlignment="1">
      <x:alignment vertical="center"/>
    </x:xf>
    <x:xf numFmtId="206" fontId="12" fillId="6" borderId="2" xfId="0" applyNumberFormat="1" applyFont="1" applyFill="1" applyBorder="1" applyAlignment="1">
      <x:alignment vertical="center"/>
    </x:xf>
    <x:xf numFmtId="206" fontId="6" fillId="0" borderId="1" xfId="0" applyNumberFormat="1" applyFont="1" applyFill="1" applyBorder="1" applyAlignment="1">
      <x:alignment vertical="center"/>
    </x:xf>
    <x:xf numFmtId="206" fontId="4" fillId="0" borderId="2" xfId="0" applyNumberFormat="1" applyFont="1" applyFill="1" applyBorder="1" applyAlignment="1">
      <x:alignment vertical="center"/>
    </x:xf>
    <x:xf numFmtId="206" fontId="6" fillId="0" borderId="2" xfId="0" applyNumberFormat="1" applyFont="1" applyFill="1" applyBorder="1" applyAlignment="1">
      <x:alignment vertical="center"/>
    </x:xf>
    <x:xf numFmtId="206" fontId="4" fillId="0" borderId="3" xfId="0" applyNumberFormat="1" applyFont="1" applyFill="1" applyBorder="1" applyAlignment="1">
      <x:alignment vertical="center"/>
    </x:xf>
    <x:xf numFmtId="206" fontId="6" fillId="0" borderId="3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5" fontId="6" fillId="0" borderId="3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208" fontId="12" fillId="6" borderId="1" xfId="0" applyNumberFormat="1" applyFont="1" applyFill="1" applyBorder="1" applyAlignment="1">
      <x:alignment vertical="center"/>
    </x:xf>
    <x:xf numFmtId="208" fontId="12" fillId="6" borderId="2" xfId="0" applyNumberFormat="1" applyFont="1" applyFill="1" applyBorder="1" applyAlignment="1">
      <x:alignment vertical="center"/>
    </x:xf>
    <x:xf numFmtId="208" fontId="12" fillId="6" borderId="3" xfId="0" applyNumberFormat="1" applyFont="1" applyFill="1" applyBorder="1" applyAlignment="1">
      <x:alignment vertical="center"/>
    </x:xf>
    <x:xf numFmtId="204" fontId="4" fillId="0" borderId="1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4" fontId="4" fillId="0" borderId="3" xfId="0" applyNumberFormat="1" applyFont="1" applyFill="1" applyBorder="1" applyAlignment="1">
      <x:alignment vertical="center"/>
    </x:xf>
    <x:xf numFmtId="0" fontId="4" fillId="5" borderId="3" xfId="0" applyNumberFormat="1" applyFont="1" applyFill="1" applyBorder="1" applyAlignment="1">
      <x:alignment vertical="center"/>
    </x:xf>
    <x:xf numFmtId="0" fontId="8" fillId="5" borderId="3" xfId="0" applyNumberFormat="1" applyFont="1" applyFill="1" applyBorder="1" applyAlignment="1">
      <x:alignment vertical="center"/>
    </x:xf>
    <x:xf numFmtId="0" fontId="8" fillId="5" borderId="7" xfId="0" applyNumberFormat="1" applyFont="1" applyFill="1" applyBorder="1" applyAlignment="1">
      <x:alignment vertical="center"/>
    </x:xf>
    <x:xf numFmtId="201" fontId="8" fillId="5" borderId="7" xfId="0" applyNumberFormat="1" applyFont="1" applyFill="1" applyBorder="1" applyAlignment="1">
      <x:alignment vertical="center"/>
    </x:xf>
    <x:xf numFmtId="203" fontId="8" fillId="5" borderId="7" xfId="0" applyNumberFormat="1" applyFont="1" applyFill="1" applyBorder="1" applyAlignment="1">
      <x:alignment vertical="center"/>
    </x:xf>
    <x:xf numFmtId="202" fontId="8" fillId="5" borderId="7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6" fillId="0" borderId="3" xfId="0" applyNumberFormat="1" applyFont="1" applyFill="1" applyBorder="1" applyAlignment="1">
      <x:alignment vertical="center"/>
    </x:xf>
    <x:xf numFmtId="204" fontId="6" fillId="0" borderId="2" xfId="0" applyNumberFormat="1" applyFont="1" applyFill="1" applyBorder="1" applyAlignment="1">
      <x:alignment vertical="center"/>
    </x:xf>
    <x:xf numFmtId="204" fontId="6" fillId="0" borderId="3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203" fontId="6" fillId="5" borderId="2" xfId="0" applyNumberFormat="1" applyFont="1" applyFill="1" applyBorder="1" applyAlignment="1">
      <x:alignment vertical="center"/>
    </x:xf>
    <x:xf numFmtId="201" fontId="6" fillId="5" borderId="2" xfId="0" applyNumberFormat="1" applyFont="1" applyFill="1" applyBorder="1" applyAlignment="1">
      <x:alignment vertical="center"/>
    </x:xf>
    <x:xf numFmtId="202" fontId="6" fillId="5" borderId="2" xfId="0" applyNumberFormat="1" applyFont="1" applyFill="1" applyBorder="1" applyAlignment="1">
      <x:alignment vertical="center"/>
    </x:xf>
    <x:xf numFmtId="204" fontId="6" fillId="5" borderId="2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a924a365b4dee" /><Relationship Type="http://schemas.openxmlformats.org/officeDocument/2006/relationships/theme" Target="/xl/theme/theme1.xml" Id="Rfbceb51af3ac4b14" /><Relationship Type="http://schemas.openxmlformats.org/officeDocument/2006/relationships/sharedStrings" Target="/xl/sharedStrings.xml" Id="R44a3bc53c14e4465" /><Relationship Type="http://schemas.openxmlformats.org/officeDocument/2006/relationships/worksheet" Target="/xl/worksheets/sheet1.xml" Id="R2d3e56049e2e4347" /><Relationship Type="http://schemas.openxmlformats.org/officeDocument/2006/relationships/worksheet" Target="/xl/worksheets/sheet2.xml" Id="R5a66c3d4d5424eb8" /><Relationship Type="http://schemas.openxmlformats.org/officeDocument/2006/relationships/worksheet" Target="/xl/worksheets/sheet3.xml" Id="R1ea1bc6aec42449f" /><Relationship Type="http://schemas.openxmlformats.org/officeDocument/2006/relationships/worksheet" Target="/xl/worksheets/sheet4.xml" Id="Rddad957f9ddc410d" /><Relationship Type="http://schemas.openxmlformats.org/officeDocument/2006/relationships/worksheet" Target="/xl/worksheets/sheet5.xml" Id="R3d5a0cc4825044d9" /><Relationship Type="http://schemas.openxmlformats.org/officeDocument/2006/relationships/worksheet" Target="/xl/worksheets/sheet6.xml" Id="R2eec4bf50ad844ce" /><Relationship Type="http://schemas.openxmlformats.org/officeDocument/2006/relationships/worksheet" Target="/xl/worksheets/sheet7.xml" Id="Rf4439319672e47da" /><Relationship Type="http://schemas.openxmlformats.org/officeDocument/2006/relationships/worksheet" Target="/xl/worksheets/sheet8.xml" Id="Rb4947ccbbb5e439b" /><Relationship Type="http://schemas.microsoft.com/office/2017/10/relationships/person" Target="/xl/persons/person.xml" Id="Rcde873f5aecb4024" /></Relationships>
</file>

<file path=xl/persons/person.xml><?xml version="1.0" encoding="utf-8"?>
<xltc:personList xmlns:xltc="http://schemas.microsoft.com/office/spreadsheetml/2018/threadedcomments">
  <xltc:person displayName="User" id="{D3426313-4590-41E0-BCC1-926FE8D5DF3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6" dT="2026-07-20T20:36:39.336" personId="{D3426313-4590-41E0-BCC1-926FE8D5DF31}" id="{4D5748B7-A893-224E-D9B3-CF247E2A0324}">
    <xltc:text>User specification: realized price per credit = $0.01. Use this net of fixed platform fees.</xltc:text>
  </xltc:threadedComment>
  <xltc:threadedComment ref="C7" dT="2026-07-20T20:36:39.338" personId="{D3426313-4590-41E0-BCC1-926FE8D5DF31}" id="{208667FD-9F5A-AC98-10DF-A4BC0F949782}">
    <xltc:text>User specification: target gross margin = 70%.</xltc:text>
  </xltc:threadedComment>
  <xltc:threadedComment ref="C8" dT="2026-07-20T20:36:39.338" personId="{D3426313-4590-41E0-BCC1-926FE8D5DF31}" id="{0F9970A5-C17A-B8FA-A4D6-98B1650CC270}">
    <xltc:text>User specification: target value capture = 5%.</xltc:text>
  </xltc:threadedComment>
  <xltc:threadedComment ref="C9" dT="2026-07-20T20:36:39.338" personId="{D3426313-4590-41E0-BCC1-926FE8D5DF31}" id="{BC445AA6-A4E3-A4DE-9C7A-8FADD7456C70}">
    <xltc:text>User specification: maximum value capture = 10%.</xltc:text>
  </xltc:threadedComment>
  <xltc:threadedComment ref="C10" dT="2026-07-20T20:36:39.338" personId="{D3426313-4590-41E0-BCC1-926FE8D5DF31}" id="{ADBAE42A-6076-A133-7D41-2137A70900F8}">
    <xltc:text>User specification: credit rounding increment = 1.</xltc:text>
  </xltc:threadedComment>
  <xltc:threadedComment ref="C11" dT="2026-07-20T20:36:39.338" personId="{D3426313-4590-41E0-BCC1-926FE8D5DF31}" id="{5ACDDB7B-9B16-5AB4-1AD2-CDE24052878A}">
    <xltc:text>User specification: allocation buffer = 20%.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M7" dT="2026-07-20T20:36:39.338" personId="{D3426313-4590-41E0-BCC1-926FE8D5DF31}" id="{FD86BA45-FE4A-77A5-FFE7-073BF6EC2B9A}">
    <xltc:text>Worked example: MAX(7 minimum cost credits, 20 value-supported credits) = 20 recommended credits.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F7" dT="2026-07-20T20:36:39.338" personId="{D3426313-4590-41E0-BCC1-926FE8D5DF31}" id="{3D065A71-5F82-418A-4C0F-DFA3815BC903}">
    <xltc:text>Base monthly credits use SUMPRODUCT of customer-driver volume and recommended action credit weights.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5a3f245abc54721" /><Relationship Type="http://schemas.openxmlformats.org/officeDocument/2006/relationships/vmlDrawing" Target="/xl/drawings/vmldrawing.vml" Id="R80e2e14b92ed4187" /><Relationship Type="http://schemas.microsoft.com/office/2017/10/relationships/threadedComment" Target="/xl/threadedcomments/threadedcomment.xml" Id="R1414253997d048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94a65d945ebe4b5d" /><Relationship Type="http://schemas.openxmlformats.org/officeDocument/2006/relationships/vmlDrawing" Target="/xl/drawings/vmldrawing2.vml" Id="R7ef2da5b42b04934" /><Relationship Type="http://schemas.microsoft.com/office/2017/10/relationships/threadedComment" Target="/xl/threadedcomments/threadedcomment2.xml" Id="R57f98745dee848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b2cf6ac2dd0744ad" /><Relationship Type="http://schemas.openxmlformats.org/officeDocument/2006/relationships/vmlDrawing" Target="/xl/drawings/vmldrawing3.vml" Id="R07b1b1d6a74d4739" /><Relationship Type="http://schemas.microsoft.com/office/2017/10/relationships/threadedComment" Target="/xl/threadedcomments/threadedcomment3.xml" Id="R89a8465e95c34f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5" hidden="0" customWidth="1"/>
    <x:col min="3" max="3" width="14" hidden="0" customWidth="1"/>
    <x:col min="4" max="4" width="24" hidden="0" customWidth="1"/>
    <x:col min="5" max="5" width="16" hidden="0" customWidth="1"/>
    <x:col min="6" max="6" width="13" hidden="0" customWidth="1"/>
    <x:col min="7" max="7" width="25" hidden="0" customWidth="1"/>
    <x:col min="8" max="8" width="16" hidden="0" customWidth="1"/>
  </x:cols>
  <x:sheetData>
    <x:row r="1" ht="34" customHeight="1">
      <x:c r="A1" s="3" t="str">
        <x:v>Tanso OSS Credit Estimator</x:v>
      </x:c>
      <x:c r="B1" s="3" t="str">
        <x:v>Tanso OSS Credit Estimator</x:v>
      </x:c>
      <x:c r="C1" s="3" t="str">
        <x:v>Tanso OSS Credit Estimator</x:v>
      </x:c>
      <x:c r="D1" s="3" t="str">
        <x:v>Tanso OSS Credit Estimator</x:v>
      </x:c>
      <x:c r="E1" s="3" t="str">
        <x:v>Tanso OSS Credit Estimator</x:v>
      </x:c>
      <x:c r="F1" s="3" t="str">
        <x:v>Tanso OSS Credit Estimator</x:v>
      </x:c>
      <x:c r="G1" s="3" t="str">
        <x:v>Tanso OSS Credit Estimator</x:v>
      </x:c>
      <x:c r="H1" s="3" t="str">
        <x:v>Tanso OSS Credit Estimator</x:v>
      </x:c>
    </x:row>
    <x:row r="2" ht="30" customHeight="1">
      <x:c r="A2" s="7" t="str">
        <x:v>Executable specification for action-level credit weights, demand scenarios, plan allocations, and production calibration.</x:v>
      </x:c>
      <x:c r="B2" s="7" t="str">
        <x:v>Executable specification for action-level credit weights, demand scenarios, plan allocations, and production calibration.</x:v>
      </x:c>
      <x:c r="C2" s="7" t="str">
        <x:v>Executable specification for action-level credit weights, demand scenarios, plan allocations, and production calibration.</x:v>
      </x:c>
      <x:c r="D2" s="7" t="str">
        <x:v>Executable specification for action-level credit weights, demand scenarios, plan allocations, and production calibration.</x:v>
      </x:c>
      <x:c r="E2" s="7" t="str">
        <x:v>Executable specification for action-level credit weights, demand scenarios, plan allocations, and production calibration.</x:v>
      </x:c>
      <x:c r="F2" s="7" t="str">
        <x:v>Executable specification for action-level credit weights, demand scenarios, plan allocations, and production calibration.</x:v>
      </x:c>
      <x:c r="G2" s="7" t="str">
        <x:v>Executable specification for action-level credit weights, demand scenarios, plan allocations, and production calibration.</x:v>
      </x:c>
      <x:c r="H2" s="7" t="str">
        <x:v>Executable specification for action-level credit weights, demand scenarios, plan allocations, and production calibration.</x:v>
      </x:c>
    </x:row>
    <x:row r="4" ht="24" customHeight="1">
      <x:c r="A4" s="10" t="str">
        <x:v>Workbook Metadata</x:v>
      </x:c>
      <x:c r="B4" s="10" t="str">
        <x:v>Workbook Metadata</x:v>
      </x:c>
      <x:c r="D4" s="10" t="str">
        <x:v>Key Base-Case Outputs</x:v>
      </x:c>
      <x:c r="E4" s="10" t="str">
        <x:v>Key Base-Case Outputs</x:v>
      </x:c>
      <x:c r="F4" s="10" t="str">
        <x:v>Key Base-Case Outputs</x:v>
      </x:c>
      <x:c r="G4" s="10" t="str">
        <x:v>Key Base-Case Outputs</x:v>
      </x:c>
      <x:c r="H4" s="10" t="str">
        <x:v>Key Base-Case Outputs</x:v>
      </x:c>
    </x:row>
    <x:row r="5">
      <x:c r="A5" s="22" t="str">
        <x:v>Version</x:v>
      </x:c>
      <x:c r="B5" s="18" t="str">
        <x:v>1.0</x:v>
      </x:c>
      <x:c r="D5" s="22" t="str">
        <x:v>Base monthly credits</x:v>
      </x:c>
      <x:c r="E5" s="28" t="n">
        <x:f>'Scenarios'!F7</x:f>
        <x:v>1067256.8551195199</x:v>
      </x:c>
      <x:c r="F5" s="18"/>
      <x:c r="G5" s="22" t="str">
        <x:v>Credits / active seat</x:v>
      </x:c>
      <x:c r="H5" s="32" t="n">
        <x:f>'Scenarios'!K7</x:f>
        <x:v>323.52881505987625</x:v>
      </x:c>
    </x:row>
    <x:row r="6">
      <x:c r="A6" s="23" t="str">
        <x:v>As of</x:v>
      </x:c>
      <x:c r="B6" s="20" t="n">
        <x:v>46223</x:v>
      </x:c>
      <x:c r="D6" s="23" t="str">
        <x:v>Base provider cost</x:v>
      </x:c>
      <x:c r="E6" s="29" t="n">
        <x:f>'Scenarios'!G7</x:f>
        <x:v>1008.8094596893872</x:v>
      </x:c>
      <x:c r="F6" s="19"/>
      <x:c r="G6" s="23" t="str">
        <x:v>Realized price / credit</x:v>
      </x:c>
      <x:c r="H6" s="33" t="n">
        <x:f>'Assumptions'!C6</x:f>
        <x:v>0.01</x:v>
      </x:c>
    </x:row>
    <x:row r="7">
      <x:c r="A7" s="23" t="str">
        <x:v>Period basis</x:v>
      </x:c>
      <x:c r="B7" s="19" t="str">
        <x:v>Monthly operating model</x:v>
      </x:c>
      <x:c r="D7" s="23" t="str">
        <x:v>Base usage revenue</x:v>
      </x:c>
      <x:c r="E7" s="29" t="n">
        <x:f>'Scenarios'!H7</x:f>
        <x:v>10672.5685511952</x:v>
      </x:c>
      <x:c r="F7" s="19"/>
      <x:c r="G7" s="23" t="str">
        <x:v>Infeasible actions</x:v>
      </x:c>
      <x:c r="H7" s="34" t="n">
        <x:f>COUNTIF('Metric Weights'!$N$6:$N$13,"&lt;&gt;OK")</x:f>
        <x:v>0</x:v>
      </x:c>
    </x:row>
    <x:row r="8">
      <x:c r="A8" s="23" t="str">
        <x:v>Model status</x:v>
      </x:c>
      <x:c r="B8" s="19" t="str">
        <x:f>IF(COUNTIF($F$30:$F$34,"&lt;&gt;OK")=0,"PASS","FAIL")</x:f>
        <x:v>PASS</x:v>
      </x:c>
      <x:c r="D8" s="23" t="str">
        <x:v>Base gross margin</x:v>
      </x:c>
      <x:c r="E8" s="30" t="n">
        <x:f>'Scenarios'!J7</x:f>
        <x:v>0.9054764132129736</x:v>
      </x:c>
      <x:c r="F8" s="19"/>
      <x:c r="G8" s="23" t="str">
        <x:v>Base monthly actions</x:v>
      </x:c>
      <x:c r="H8" s="34" t="n">
        <x:f>'Scenarios'!E7</x:f>
        <x:v>156468.474864</x:v>
      </x:c>
    </x:row>
    <x:row r="9">
      <x:c r="A9" s="24" t="str">
        <x:v>Scope</x:v>
      </x:c>
      <x:c r="B9" s="21" t="str">
        <x:v>8 agent actions | 3 customer segments</x:v>
      </x:c>
      <x:c r="D9" s="24" t="str">
        <x:v>Base credits / customer</x:v>
      </x:c>
      <x:c r="E9" s="31" t="n">
        <x:f>'Scenarios'!L7</x:f>
        <x:v>16940.58500189714</x:v>
      </x:c>
      <x:c r="F9" s="21"/>
      <x:c r="G9" s="24" t="str">
        <x:v>Target gross margin</x:v>
      </x:c>
      <x:c r="H9" s="35" t="n">
        <x:f>'Assumptions'!C7</x:f>
        <x:v>0.7</x:v>
      </x:c>
    </x:row>
    <x:row r="12" ht="24" customHeight="1">
      <x:c r="A12" s="10" t="str">
        <x:v>How to Use</x:v>
      </x:c>
      <x:c r="B12" s="10" t="str">
        <x:v>How to Use</x:v>
      </x:c>
      <x:c r="C12" s="10" t="str">
        <x:v>How to Use</x:v>
      </x:c>
      <x:c r="D12" s="10" t="str">
        <x:v>How to Use</x:v>
      </x:c>
      <x:c r="E12" s="10" t="str">
        <x:v>How to Use</x:v>
      </x:c>
      <x:c r="F12" s="10" t="str">
        <x:v>How to Use</x:v>
      </x:c>
      <x:c r="G12" s="10" t="str">
        <x:v>How to Use</x:v>
      </x:c>
      <x:c r="H12" s="10" t="str">
        <x:v>How to Use</x:v>
      </x:c>
    </x:row>
    <x:row r="13" ht="23" customHeight="1">
      <x:c r="A13" s="38" t="str">
        <x:v>1. Replace yellow / blue-font inputs in Assumptions, EVE Inputs, Metric Weights, and Customer Drivers.</x:v>
      </x:c>
      <x:c r="B13" s="38"/>
      <x:c r="C13" s="38"/>
      <x:c r="D13" s="38"/>
      <x:c r="E13" s="38"/>
      <x:c r="F13" s="38"/>
      <x:c r="G13" s="38"/>
      <x:c r="H13" s="38"/>
    </x:row>
    <x:row r="14" ht="23" customHeight="1">
      <x:c r="A14" s="38" t="str">
        <x:v>2. Review action-level feasibility and recommended weights in Metric Weights.</x:v>
      </x:c>
      <x:c r="B14" s="38"/>
      <x:c r="C14" s="38"/>
      <x:c r="D14" s="38"/>
      <x:c r="E14" s="38"/>
      <x:c r="F14" s="38"/>
      <x:c r="G14" s="38"/>
      <x:c r="H14" s="38"/>
    </x:row>
    <x:row r="15" ht="23" customHeight="1">
      <x:c r="A15" s="38" t="str">
        <x:v>3. Use Scenarios to evaluate low, base, and high monthly economics.</x:v>
      </x:c>
      <x:c r="B15" s="38"/>
      <x:c r="C15" s="38"/>
      <x:c r="D15" s="38"/>
      <x:c r="E15" s="38"/>
      <x:c r="F15" s="38"/>
      <x:c r="G15" s="38"/>
      <x:c r="H15" s="38"/>
    </x:row>
    <x:row r="16" ht="23" customHeight="1">
      <x:c r="A16" s="38" t="str">
        <x:v>4. Review Plan Design for allocations, utilization, margin, and top-up pressure.</x:v>
      </x:c>
      <x:c r="B16" s="38"/>
      <x:c r="C16" s="38"/>
      <x:c r="D16" s="38"/>
      <x:c r="E16" s="38"/>
      <x:c r="F16" s="38"/>
      <x:c r="G16" s="38"/>
      <x:c r="H16" s="38"/>
    </x:row>
    <x:row r="17" ht="23" customHeight="1">
      <x:c r="A17" s="38" t="str">
        <x:v>5. Paste actual production usage and cost into Calibration when available.</x:v>
      </x:c>
      <x:c r="B17" s="38"/>
      <x:c r="C17" s="38"/>
      <x:c r="D17" s="38"/>
      <x:c r="E17" s="38"/>
      <x:c r="F17" s="38"/>
      <x:c r="G17" s="38"/>
      <x:c r="H17" s="38"/>
    </x:row>
    <x:row r="19" ht="24" customHeight="1">
      <x:c r="A19" s="10" t="str">
        <x:v>Methodology and Calculation Map</x:v>
      </x:c>
      <x:c r="B19" s="10" t="str">
        <x:v>Methodology and Calculation Map</x:v>
      </x:c>
      <x:c r="C19" s="10" t="str">
        <x:v>Methodology and Calculation Map</x:v>
      </x:c>
      <x:c r="D19" s="10" t="str">
        <x:v>Methodology and Calculation Map</x:v>
      </x:c>
      <x:c r="E19" s="10" t="str">
        <x:v>Methodology and Calculation Map</x:v>
      </x:c>
      <x:c r="F19" s="10" t="str">
        <x:v>Methodology and Calculation Map</x:v>
      </x:c>
      <x:c r="G19" s="10" t="str">
        <x:v>Methodology and Calculation Map</x:v>
      </x:c>
      <x:c r="H19" s="10" t="str">
        <x:v>Methodology and Calculation Map</x:v>
      </x:c>
    </x:row>
    <x:row r="20" ht="29" customHeight="1">
      <x:c r="A20" s="40" t="str">
        <x:v>Unit cost</x:v>
      </x:c>
      <x:c r="B20" s="43" t="str">
        <x:v>=(Input tokens/1,000,000 × input rate) + (output tokens/1,000,000 × output rate) + infra + other variable cost</x:v>
      </x:c>
      <x:c r="C20" s="43"/>
      <x:c r="D20" s="43"/>
      <x:c r="E20" s="43"/>
      <x:c r="F20" s="43"/>
      <x:c r="G20" s="43"/>
      <x:c r="H20" s="43"/>
    </x:row>
    <x:row r="21" ht="29" customHeight="1">
      <x:c r="A21" s="40" t="str">
        <x:v>Risk reduction</x:v>
      </x:c>
      <x:c r="B21" s="43" t="str">
        <x:v>=Loss amount × probability before − loss amount × probability after</x:v>
      </x:c>
      <x:c r="C21" s="43"/>
      <x:c r="D21" s="43"/>
      <x:c r="E21" s="43"/>
      <x:c r="F21" s="43"/>
      <x:c r="G21" s="43"/>
      <x:c r="H21" s="43"/>
    </x:row>
    <x:row r="22" ht="29" customHeight="1">
      <x:c r="A22" s="40" t="str">
        <x:v>Value per action</x:v>
      </x:c>
      <x:c r="B22" s="43" t="str">
        <x:v>=Annual adjusted customer value / expected annual actions</x:v>
      </x:c>
      <x:c r="C22" s="43"/>
      <x:c r="D22" s="43"/>
      <x:c r="E22" s="43"/>
      <x:c r="F22" s="43"/>
      <x:c r="G22" s="43"/>
      <x:c r="H22" s="43"/>
    </x:row>
    <x:row r="23" ht="29" customHeight="1">
      <x:c r="A23" s="40" t="str">
        <x:v>Confidence-adjusted value</x:v>
      </x:c>
      <x:c r="B23" s="43" t="str">
        <x:v>=Estimated value per action × evidence confidence</x:v>
      </x:c>
      <x:c r="C23" s="43"/>
      <x:c r="D23" s="43"/>
      <x:c r="E23" s="43"/>
      <x:c r="F23" s="43"/>
      <x:c r="G23" s="43"/>
      <x:c r="H23" s="43"/>
    </x:row>
    <x:row r="24" ht="29" customHeight="1">
      <x:c r="A24" s="40" t="str">
        <x:v>Minimum cost credits</x:v>
      </x:c>
      <x:c r="B24" s="43" t="str">
        <x:v>=CEILING(Unit cost / (price per credit × (1 − target gross margin)), credit increment)</x:v>
      </x:c>
      <x:c r="C24" s="43"/>
      <x:c r="D24" s="43"/>
      <x:c r="E24" s="43"/>
      <x:c r="F24" s="43"/>
      <x:c r="G24" s="43"/>
      <x:c r="H24" s="43"/>
    </x:row>
    <x:row r="25" ht="29" customHeight="1">
      <x:c r="A25" s="40" t="str">
        <x:v>Recommended weight</x:v>
      </x:c>
      <x:c r="B25" s="43" t="str">
        <x:v>=MAX(minimum cost credits, value-supported credits)</x:v>
      </x:c>
      <x:c r="C25" s="43"/>
      <x:c r="D25" s="43"/>
      <x:c r="E25" s="43"/>
      <x:c r="F25" s="43"/>
      <x:c r="G25" s="43"/>
      <x:c r="H25" s="43"/>
    </x:row>
    <x:row r="26" ht="29" customHeight="1">
      <x:c r="A26" s="40" t="str">
        <x:v>Monthly volume</x:v>
      </x:c>
      <x:c r="B26" s="43" t="str">
        <x:v>=Accounts × seats/account × active-seat % × actions/active seat/day × active days × adoption % × completion % × workload mix %</x:v>
      </x:c>
      <x:c r="C26" s="43"/>
      <x:c r="D26" s="43"/>
      <x:c r="E26" s="43"/>
      <x:c r="F26" s="43"/>
      <x:c r="G26" s="43"/>
      <x:c r="H26" s="43"/>
    </x:row>
    <x:row r="28" ht="24" customHeight="1">
      <x:c r="A28" s="10" t="str">
        <x:v>Model Checks</x:v>
      </x:c>
      <x:c r="B28" s="10" t="str">
        <x:v>Model Checks</x:v>
      </x:c>
      <x:c r="C28" s="10" t="str">
        <x:v>Model Checks</x:v>
      </x:c>
      <x:c r="D28" s="10" t="str">
        <x:v>Model Checks</x:v>
      </x:c>
      <x:c r="E28" s="10" t="str">
        <x:v>Model Checks</x:v>
      </x:c>
      <x:c r="F28" s="10" t="str">
        <x:v>Model Checks</x:v>
      </x:c>
      <x:c r="G28" s="10" t="str">
        <x:v>Model Checks</x:v>
      </x:c>
    </x:row>
    <x:row r="29" ht="34" customHeight="1">
      <x:c r="A29" s="54" t="str">
        <x:v>Check</x:v>
      </x:c>
      <x:c r="B29" s="55" t="str">
        <x:v>Actual</x:v>
      </x:c>
      <x:c r="C29" s="55" t="str">
        <x:v>Expected</x:v>
      </x:c>
      <x:c r="D29" s="55" t="str">
        <x:v>Difference</x:v>
      </x:c>
      <x:c r="E29" s="55" t="str">
        <x:v>Tolerance</x:v>
      </x:c>
      <x:c r="F29" s="55" t="str">
        <x:v>Status</x:v>
      </x:c>
      <x:c r="G29" s="56" t="str">
        <x:v>Where to Fix / Notes</x:v>
      </x:c>
    </x:row>
    <x:row r="30">
      <x:c r="A30" s="18" t="str">
        <x:v>Base revenue tie</x:v>
      </x:c>
      <x:c r="B30" s="57" t="n">
        <x:f>'Scenarios'!H7</x:f>
        <x:v>10672.5685511952</x:v>
      </x:c>
      <x:c r="C30" s="57" t="n">
        <x:f>'Scenarios'!F7*'Assumptions'!C6</x:f>
        <x:v>10672.5685511952</x:v>
      </x:c>
      <x:c r="D30" s="58" t="n">
        <x:f>B30-C30</x:f>
        <x:v>0</x:v>
      </x:c>
      <x:c r="E30" s="58" t="n">
        <x:v>0.01</x:v>
      </x:c>
      <x:c r="F30" s="18" t="str">
        <x:f>IF(ABS(D30)&lt;=E30,"OK","CHECK")</x:f>
        <x:v>OK</x:v>
      </x:c>
      <x:c r="G30" s="18" t="str">
        <x:v>Scenarios / Assumptions</x:v>
      </x:c>
    </x:row>
    <x:row r="31">
      <x:c r="A31" s="19" t="str">
        <x:v>No infeasible actions</x:v>
      </x:c>
      <x:c r="B31" s="34" t="n">
        <x:f>COUNTIF('Metric Weights'!$N$6:$N$13,"&lt;&gt;OK")</x:f>
        <x:v>0</x:v>
      </x:c>
      <x:c r="C31" s="34" t="n">
        <x:v>0</x:v>
      </x:c>
      <x:c r="D31" s="59" t="n">
        <x:f>B31-C31</x:f>
        <x:v>0</x:v>
      </x:c>
      <x:c r="E31" s="59" t="n">
        <x:v>0</x:v>
      </x:c>
      <x:c r="F31" s="19" t="str">
        <x:f>IF(ABS(D31)&lt;=E31,"OK","CHECK")</x:f>
        <x:v>OK</x:v>
      </x:c>
      <x:c r="G31" s="19" t="str">
        <x:v>Metric Weights</x:v>
      </x:c>
    </x:row>
    <x:row r="32">
      <x:c r="A32" s="19" t="str">
        <x:v>Plan price anchor tie</x:v>
      </x:c>
      <x:c r="B32" s="60" t="n">
        <x:f>MAX(ABS('Plan Design'!G6-'Assumptions'!C6),ABS('Plan Design'!G7-'Assumptions'!C6),ABS('Plan Design'!G8-'Assumptions'!C6))</x:f>
        <x:v>0</x:v>
      </x:c>
      <x:c r="C32" s="60" t="n">
        <x:v>0</x:v>
      </x:c>
      <x:c r="D32" s="61" t="n">
        <x:f>B32-C32</x:f>
        <x:v>0</x:v>
      </x:c>
      <x:c r="E32" s="61" t="n">
        <x:v>0.000001</x:v>
      </x:c>
      <x:c r="F32" s="19" t="str">
        <x:f>IF(ABS(D32)&lt;=E32,"OK","CHECK")</x:f>
        <x:v>OK</x:v>
      </x:c>
      <x:c r="G32" s="19" t="str">
        <x:v>Plan Design / Assumptions</x:v>
      </x:c>
    </x:row>
    <x:row r="33">
      <x:c r="A33" s="19" t="str">
        <x:v>Segment workload mix tie</x:v>
      </x:c>
      <x:c r="B33" s="60" t="n">
        <x:f>MAX(ABS('Customer Drivers'!X6-1),ABS('Customer Drivers'!X7-1),ABS('Customer Drivers'!X8-1))</x:f>
        <x:v>1.1102230246251565e-16</x:v>
      </x:c>
      <x:c r="C33" s="60" t="n">
        <x:v>0</x:v>
      </x:c>
      <x:c r="D33" s="61" t="n">
        <x:f>B33-C33</x:f>
        <x:v>1.1102230246251565e-16</x:v>
      </x:c>
      <x:c r="E33" s="61" t="n">
        <x:v>0.000001</x:v>
      </x:c>
      <x:c r="F33" s="19" t="str">
        <x:f>IF(ABS(D33)&lt;=E33,"OK","CHECK")</x:f>
        <x:v>OK</x:v>
      </x:c>
      <x:c r="G33" s="19" t="str">
        <x:v>Customer Drivers</x:v>
      </x:c>
    </x:row>
    <x:row r="34">
      <x:c r="A34" s="21" t="str">
        <x:v>Base GM at or above target</x:v>
      </x:c>
      <x:c r="B34" s="35" t="n">
        <x:f>'Scenarios'!J7</x:f>
        <x:v>0.9054764132129736</x:v>
      </x:c>
      <x:c r="C34" s="35" t="n">
        <x:f>'Assumptions'!C7</x:f>
        <x:v>0.7</x:v>
      </x:c>
      <x:c r="D34" s="62" t="n">
        <x:f>B34-C34</x:f>
        <x:v>0.2054764132129736</x:v>
      </x:c>
      <x:c r="E34" s="62" t="n">
        <x:v>0</x:v>
      </x:c>
      <x:c r="F34" s="21" t="str">
        <x:f>IF(B34&gt;=C34,"OK","CHECK")</x:f>
        <x:v>OK</x:v>
      </x:c>
      <x:c r="G34" s="21" t="str">
        <x:v>Metric Weights / Assumptions</x:v>
      </x:c>
    </x:row>
    <x:row r="37" ht="24" customHeight="1">
      <x:c r="A37" s="10" t="str">
        <x:v>Definitions and Version Notes</x:v>
      </x:c>
      <x:c r="B37" s="10" t="str">
        <x:v>Definitions and Version Notes</x:v>
      </x:c>
      <x:c r="C37" s="10" t="str">
        <x:v>Definitions and Version Notes</x:v>
      </x:c>
      <x:c r="D37" s="10" t="str">
        <x:v>Definitions and Version Notes</x:v>
      </x:c>
      <x:c r="E37" s="10" t="str">
        <x:v>Definitions and Version Notes</x:v>
      </x:c>
      <x:c r="F37" s="10" t="str">
        <x:v>Definitions and Version Notes</x:v>
      </x:c>
      <x:c r="G37" s="10" t="str">
        <x:v>Definitions and Version Notes</x:v>
      </x:c>
      <x:c r="H37" s="10" t="str">
        <x:v>Definitions and Version Notes</x:v>
      </x:c>
    </x:row>
    <x:row r="38" ht="24" customHeight="1">
      <x:c r="A38" s="64" t="str">
        <x:v>Credit: internal billable unit. Realized price excludes the fixed platform fee for subscriptions.</x:v>
      </x:c>
      <x:c r="B38" s="64"/>
      <x:c r="C38" s="64"/>
      <x:c r="D38" s="64"/>
      <x:c r="E38" s="64"/>
      <x:c r="F38" s="64"/>
      <x:c r="G38" s="64"/>
      <x:c r="H38" s="64"/>
    </x:row>
    <x:row r="39" ht="24" customHeight="1">
      <x:c r="A39" s="64" t="str">
        <x:v>Gross margin: (usage revenue − provider cost) / usage revenue unless explicitly labeled as plan gross margin.</x:v>
      </x:c>
      <x:c r="B39" s="64"/>
      <x:c r="C39" s="64"/>
      <x:c r="D39" s="64"/>
      <x:c r="E39" s="64"/>
      <x:c r="F39" s="64"/>
      <x:c r="G39" s="64"/>
      <x:c r="H39" s="64"/>
    </x:row>
    <x:row r="40" ht="24" customHeight="1">
      <x:c r="A40" s="64" t="str">
        <x:v>Evidence confidence: 30% unsupported estimate, 60% customer research, 90% measured result.</x:v>
      </x:c>
      <x:c r="B40" s="64"/>
      <x:c r="C40" s="64"/>
      <x:c r="D40" s="64"/>
      <x:c r="E40" s="64"/>
      <x:c r="F40" s="64"/>
      <x:c r="G40" s="64"/>
      <x:c r="H40" s="64"/>
    </x:row>
    <x:row r="41" ht="24" customHeight="1">
      <x:c r="A41" s="64" t="str">
        <x:v>v1.0 | 2026-07-20 | Initial illustrative operating model. Replace estimates with Tanso model-cost and event data.</x:v>
      </x:c>
      <x:c r="B41" s="64"/>
      <x:c r="C41" s="64"/>
      <x:c r="D41" s="64"/>
      <x:c r="E41" s="64"/>
      <x:c r="F41" s="64"/>
      <x:c r="G41" s="64"/>
      <x:c r="H41" s="64"/>
    </x:row>
  </x:sheetData>
  <x:mergeCells>
    <x:mergeCell ref="A1:H1"/>
    <x:mergeCell ref="A2:H2"/>
    <x:mergeCell ref="A4:B4"/>
    <x:mergeCell ref="D4:H4"/>
    <x:mergeCell ref="A12:H12"/>
    <x:mergeCell ref="A13:H13"/>
    <x:mergeCell ref="A14:H14"/>
    <x:mergeCell ref="A15:H15"/>
    <x:mergeCell ref="A16:H16"/>
    <x:mergeCell ref="A17:H17"/>
    <x:mergeCell ref="A19:H19"/>
    <x:mergeCell ref="B20:H20"/>
    <x:mergeCell ref="B21:H21"/>
    <x:mergeCell ref="B22:H22"/>
    <x:mergeCell ref="B23:H23"/>
    <x:mergeCell ref="B24:H24"/>
    <x:mergeCell ref="B25:H25"/>
    <x:mergeCell ref="B26:H26"/>
    <x:mergeCell ref="A28:G28"/>
    <x:mergeCell ref="A37:H37"/>
    <x:mergeCell ref="A38:H38"/>
    <x:mergeCell ref="A39:H39"/>
    <x:mergeCell ref="A40:H40"/>
    <x:mergeCell ref="A41:H41"/>
  </x:mergeCells>
  <x:conditionalFormatting sqref="B8:B8">
    <x:cfRule type="containsText" dxfId="0" priority="1" operator="containsText" text="OK"/>
    <x:cfRule type="containsText" dxfId="1" priority="2" operator="containsText" text="PASS"/>
    <x:cfRule type="containsText" dxfId="2" priority="3" operator="containsText" text="CHECK"/>
    <x:cfRule type="containsText" dxfId="3" priority="4" operator="containsText" text="INFEASIBLE"/>
  </x:conditionalFormatting>
  <x:conditionalFormatting sqref="F30:F34">
    <x:cfRule type="containsText" dxfId="4" priority="5" operator="containsText" text="OK"/>
    <x:cfRule type="containsText" dxfId="5" priority="6" operator="containsText" text="PASS"/>
    <x:cfRule type="containsText" dxfId="6" priority="7" operator="containsText" text="CHECK"/>
    <x:cfRule type="containsText" dxfId="7" priority="8" operator="containsText" text="INFEASIBL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1" hidden="0" customWidth="1"/>
    <x:col min="3" max="3" width="16" hidden="0" customWidth="1"/>
    <x:col min="4" max="4" width="17" hidden="0" customWidth="1"/>
    <x:col min="5" max="5" width="34" hidden="0" customWidth="1"/>
    <x:col min="6" max="6" width="3" hidden="0" customWidth="1"/>
    <x:col min="7" max="7" width="24" hidden="0" customWidth="1"/>
    <x:col min="8" max="8" width="22" hidden="0" customWidth="1"/>
    <x:col min="9" max="9" width="20" hidden="0" customWidth="1"/>
    <x:col min="10" max="10" width="20" hidden="0" customWidth="1"/>
    <x:col min="11" max="11" width="26" hidden="0" customWidth="1"/>
  </x:cols>
  <x:sheetData>
    <x:row r="1" ht="34" customHeight="1">
      <x:c r="A1" s="3" t="str">
        <x:v>Assumptions</x:v>
      </x:c>
      <x:c r="B1" s="3" t="str">
        <x:v>Assumptions</x:v>
      </x:c>
      <x:c r="C1" s="3" t="str">
        <x:v>Assumptions</x:v>
      </x:c>
      <x:c r="D1" s="3" t="str">
        <x:v>Assumptions</x:v>
      </x:c>
      <x:c r="E1" s="3" t="str">
        <x:v>Assumptions</x:v>
      </x:c>
      <x:c r="F1" s="3" t="str">
        <x:v>Assumptions</x:v>
      </x:c>
      <x:c r="G1" s="3" t="str">
        <x:v>Assumptions</x:v>
      </x:c>
      <x:c r="H1" s="3" t="str">
        <x:v>Assumptions</x:v>
      </x:c>
      <x:c r="I1" s="3" t="str">
        <x:v>Assumptions</x:v>
      </x:c>
      <x:c r="J1" s="3" t="str">
        <x:v>Assumptions</x:v>
      </x:c>
      <x:c r="K1" s="3" t="str">
        <x:v>Assumptions</x:v>
      </x:c>
    </x:row>
    <x:row r="2" ht="30" customHeight="1">
      <x:c r="A2" s="7" t="str">
        <x:v>Yellow cells with blue font are editable inputs. All scenario, plan, and weighting outputs link back here.</x:v>
      </x:c>
      <x:c r="B2" s="7" t="str">
        <x:v>Yellow cells with blue font are editable inputs. All scenario, plan, and weighting outputs link back here.</x:v>
      </x:c>
      <x:c r="C2" s="7" t="str">
        <x:v>Yellow cells with blue font are editable inputs. All scenario, plan, and weighting outputs link back here.</x:v>
      </x:c>
      <x:c r="D2" s="7" t="str">
        <x:v>Yellow cells with blue font are editable inputs. All scenario, plan, and weighting outputs link back here.</x:v>
      </x:c>
      <x:c r="E2" s="7" t="str">
        <x:v>Yellow cells with blue font are editable inputs. All scenario, plan, and weighting outputs link back here.</x:v>
      </x:c>
      <x:c r="F2" s="7" t="str">
        <x:v>Yellow cells with blue font are editable inputs. All scenario, plan, and weighting outputs link back here.</x:v>
      </x:c>
      <x:c r="G2" s="7" t="str">
        <x:v>Yellow cells with blue font are editable inputs. All scenario, plan, and weighting outputs link back here.</x:v>
      </x:c>
      <x:c r="H2" s="7" t="str">
        <x:v>Yellow cells with blue font are editable inputs. All scenario, plan, and weighting outputs link back here.</x:v>
      </x:c>
      <x:c r="I2" s="7" t="str">
        <x:v>Yellow cells with blue font are editable inputs. All scenario, plan, and weighting outputs link back here.</x:v>
      </x:c>
      <x:c r="J2" s="7" t="str">
        <x:v>Yellow cells with blue font are editable inputs. All scenario, plan, and weighting outputs link back here.</x:v>
      </x:c>
      <x:c r="K2" s="7" t="str">
        <x:v>Yellow cells with blue font are editable inputs. All scenario, plan, and weighting outputs link back here.</x:v>
      </x:c>
    </x:row>
    <x:row r="4" ht="24" customHeight="1">
      <x:c r="A4" s="10" t="str">
        <x:v>Credit Economics</x:v>
      </x:c>
      <x:c r="B4" s="10" t="str">
        <x:v>Credit Economics</x:v>
      </x:c>
      <x:c r="C4" s="10" t="str">
        <x:v>Credit Economics</x:v>
      </x:c>
      <x:c r="D4" s="10" t="str">
        <x:v>Credit Economics</x:v>
      </x:c>
      <x:c r="G4" s="10" t="str">
        <x:v>Evidence Confidence Guide</x:v>
      </x:c>
      <x:c r="H4" s="10" t="str">
        <x:v>Evidence Confidence Guide</x:v>
      </x:c>
      <x:c r="I4" s="10" t="str">
        <x:v>Evidence Confidence Guide</x:v>
      </x:c>
    </x:row>
    <x:row r="5" ht="34" customHeight="1">
      <x:c r="A5" s="54" t="str">
        <x:v>Assumption</x:v>
      </x:c>
      <x:c r="B5" s="55" t="str">
        <x:v>Definition</x:v>
      </x:c>
      <x:c r="C5" s="55" t="str">
        <x:v>Value</x:v>
      </x:c>
      <x:c r="D5" s="56" t="str">
        <x:v>Units / Notes</x:v>
      </x:c>
      <x:c r="G5" s="54" t="str">
        <x:v>Evidence Level</x:v>
      </x:c>
      <x:c r="H5" s="55" t="str">
        <x:v>Confidence</x:v>
      </x:c>
      <x:c r="I5" s="56" t="str">
        <x:v>Use</x:v>
      </x:c>
    </x:row>
    <x:row r="6">
      <x:c r="A6" s="18" t="str">
        <x:v>Realized price per credit</x:v>
      </x:c>
      <x:c r="B6" s="18" t="str">
        <x:v>Effective usage price paid by customer</x:v>
      </x:c>
      <x:c r="C6" s="71" t="n">
        <x:v>0.01</x:v>
      </x:c>
      <x:c r="D6" s="18" t="str">
        <x:v>$/credit</x:v>
      </x:c>
      <x:c r="G6" s="18" t="str">
        <x:v>Unsupported estimate</x:v>
      </x:c>
      <x:c r="H6" s="75" t="n">
        <x:v>0.3</x:v>
      </x:c>
      <x:c r="I6" s="18" t="str">
        <x:v>Early hypothesis</x:v>
      </x:c>
    </x:row>
    <x:row r="7">
      <x:c r="A7" s="19" t="str">
        <x:v>Target gross margin</x:v>
      </x:c>
      <x:c r="B7" s="19" t="str">
        <x:v>Minimum target on usage revenue</x:v>
      </x:c>
      <x:c r="C7" s="72" t="n">
        <x:v>0.7</x:v>
      </x:c>
      <x:c r="D7" s="19" t="str">
        <x:v>%</x:v>
      </x:c>
      <x:c r="G7" s="19" t="str">
        <x:v>Customer research</x:v>
      </x:c>
      <x:c r="H7" s="72" t="n">
        <x:v>0.6</x:v>
      </x:c>
      <x:c r="I7" s="19" t="str">
        <x:v>Interview / discovery evidence</x:v>
      </x:c>
    </x:row>
    <x:row r="8">
      <x:c r="A8" s="19" t="str">
        <x:v>Target value capture</x:v>
      </x:c>
      <x:c r="B8" s="19" t="str">
        <x:v>Share of confidence-adjusted value targeted</x:v>
      </x:c>
      <x:c r="C8" s="72" t="n">
        <x:v>0.05</x:v>
      </x:c>
      <x:c r="D8" s="19" t="str">
        <x:v>%</x:v>
      </x:c>
      <x:c r="G8" s="21" t="str">
        <x:v>Measured result</x:v>
      </x:c>
      <x:c r="H8" s="76" t="n">
        <x:v>0.9</x:v>
      </x:c>
      <x:c r="I8" s="21" t="str">
        <x:v>Observed production outcome</x:v>
      </x:c>
    </x:row>
    <x:row r="9">
      <x:c r="A9" s="19" t="str">
        <x:v>Maximum value capture</x:v>
      </x:c>
      <x:c r="B9" s="19" t="str">
        <x:v>Customer-value guardrail</x:v>
      </x:c>
      <x:c r="C9" s="72" t="n">
        <x:v>0.1</x:v>
      </x:c>
      <x:c r="D9" s="19" t="str">
        <x:v>%</x:v>
      </x:c>
    </x:row>
    <x:row r="10">
      <x:c r="A10" s="19" t="str">
        <x:v>Credit rounding increment</x:v>
      </x:c>
      <x:c r="B10" s="19" t="str">
        <x:v>Whole-credit weighting increment</x:v>
      </x:c>
      <x:c r="C10" s="73" t="n">
        <x:v>1</x:v>
      </x:c>
      <x:c r="D10" s="19" t="str">
        <x:v>credits</x:v>
      </x:c>
    </x:row>
    <x:row r="11" ht="24" customHeight="1">
      <x:c r="A11" s="19" t="str">
        <x:v>Allocation buffer</x:v>
      </x:c>
      <x:c r="B11" s="19" t="str">
        <x:v>Plan credits above base demand</x:v>
      </x:c>
      <x:c r="C11" s="72" t="n">
        <x:v>0.2</x:v>
      </x:c>
      <x:c r="D11" s="19" t="str">
        <x:v>%</x:v>
      </x:c>
      <x:c r="G11" s="10" t="str">
        <x:v>Plan Policy Assumptions</x:v>
      </x:c>
      <x:c r="H11" s="10" t="str">
        <x:v>Plan Policy Assumptions</x:v>
      </x:c>
      <x:c r="I11" s="10" t="str">
        <x:v>Plan Policy Assumptions</x:v>
      </x:c>
      <x:c r="J11" s="10" t="str">
        <x:v>Plan Policy Assumptions</x:v>
      </x:c>
      <x:c r="K11" s="10" t="str">
        <x:v>Plan Policy Assumptions</x:v>
      </x:c>
    </x:row>
    <x:row r="12" ht="34" customHeight="1">
      <x:c r="A12" s="19" t="str">
        <x:v>Top-up risk threshold</x:v>
      </x:c>
      <x:c r="B12" s="19" t="str">
        <x:v>Expected utilization that triggers medium risk</x:v>
      </x:c>
      <x:c r="C12" s="72" t="n">
        <x:v>0.85</x:v>
      </x:c>
      <x:c r="D12" s="19" t="str">
        <x:v>%</x:v>
      </x:c>
      <x:c r="G12" s="54" t="str">
        <x:v>Plan</x:v>
      </x:c>
      <x:c r="H12" s="55" t="str">
        <x:v>Target Segment</x:v>
      </x:c>
      <x:c r="I12" s="55" t="str">
        <x:v>Fixed Platform Fee</x:v>
      </x:c>
      <x:c r="J12" s="55" t="str">
        <x:v>Top-up Pack Credits</x:v>
      </x:c>
      <x:c r="K12" s="56" t="str">
        <x:v>Notes</x:v>
      </x:c>
    </x:row>
    <x:row r="13">
      <x:c r="A13" s="21" t="str">
        <x:v>Top-up price per credit</x:v>
      </x:c>
      <x:c r="B13" s="21" t="str">
        <x:v>Realized top-up usage price</x:v>
      </x:c>
      <x:c r="C13" s="74" t="n">
        <x:v>0.012</x:v>
      </x:c>
      <x:c r="D13" s="21" t="str">
        <x:v>$/credit</x:v>
      </x:c>
      <x:c r="G13" s="18" t="str">
        <x:v>Starter</x:v>
      </x:c>
      <x:c r="H13" s="18" t="str">
        <x:v>Startup</x:v>
      </x:c>
      <x:c r="I13" s="77" t="n">
        <x:v>49</x:v>
      </x:c>
      <x:c r="J13" s="80" t="n">
        <x:v>1000</x:v>
      </x:c>
      <x:c r="K13" s="18" t="str">
        <x:v>Entry package</x:v>
      </x:c>
    </x:row>
    <x:row r="14">
      <x:c r="G14" s="19" t="str">
        <x:v>Growth</x:v>
      </x:c>
      <x:c r="H14" s="19" t="str">
        <x:v>Mid-Market</x:v>
      </x:c>
      <x:c r="I14" s="78" t="n">
        <x:v>299</x:v>
      </x:c>
      <x:c r="J14" s="73" t="n">
        <x:v>10000</x:v>
      </x:c>
      <x:c r="K14" s="19" t="str">
        <x:v>Team package</x:v>
      </x:c>
    </x:row>
    <x:row r="15" ht="24" customHeight="1">
      <x:c r="A15" s="10" t="str">
        <x:v>Scenario Multipliers</x:v>
      </x:c>
      <x:c r="B15" s="10" t="str">
        <x:v>Scenario Multipliers</x:v>
      </x:c>
      <x:c r="C15" s="10" t="str">
        <x:v>Scenario Multipliers</x:v>
      </x:c>
      <x:c r="D15" s="10" t="str">
        <x:v>Scenario Multipliers</x:v>
      </x:c>
      <x:c r="E15" s="10" t="str">
        <x:v>Scenario Multipliers</x:v>
      </x:c>
      <x:c r="G15" s="21" t="str">
        <x:v>Scale</x:v>
      </x:c>
      <x:c r="H15" s="21" t="str">
        <x:v>Enterprise</x:v>
      </x:c>
      <x:c r="I15" s="79" t="n">
        <x:v>1999</x:v>
      </x:c>
      <x:c r="J15" s="81" t="n">
        <x:v>50000</x:v>
      </x:c>
      <x:c r="K15" s="21" t="str">
        <x:v>Enterprise package</x:v>
      </x:c>
    </x:row>
    <x:row r="16" ht="34" customHeight="1">
      <x:c r="A16" s="54" t="str">
        <x:v>Scenario</x:v>
      </x:c>
      <x:c r="B16" s="55" t="str">
        <x:v>Volume Multiplier</x:v>
      </x:c>
      <x:c r="C16" s="55" t="str">
        <x:v>Token Multiplier</x:v>
      </x:c>
      <x:c r="D16" s="55" t="str">
        <x:v>Cost Multiplier</x:v>
      </x:c>
      <x:c r="E16" s="56" t="str">
        <x:v>Interpretation</x:v>
      </x:c>
    </x:row>
    <x:row r="17">
      <x:c r="A17" s="18" t="str">
        <x:v>Low</x:v>
      </x:c>
      <x:c r="B17" s="75" t="n">
        <x:v>0.7</x:v>
      </x:c>
      <x:c r="C17" s="75" t="n">
        <x:v>0.8</x:v>
      </x:c>
      <x:c r="D17" s="75" t="n">
        <x:v>1</x:v>
      </x:c>
      <x:c r="E17" s="18" t="str">
        <x:v>Lower activity and shorter prompts</x:v>
      </x:c>
    </x:row>
    <x:row r="18" ht="24" customHeight="1">
      <x:c r="A18" s="19" t="str">
        <x:v>Base</x:v>
      </x:c>
      <x:c r="B18" s="72" t="n">
        <x:v>1</x:v>
      </x:c>
      <x:c r="C18" s="72" t="n">
        <x:v>1</x:v>
      </x:c>
      <x:c r="D18" s="72" t="n">
        <x:v>1</x:v>
      </x:c>
      <x:c r="E18" s="19" t="str">
        <x:v>Current operating assumptions</x:v>
      </x:c>
      <x:c r="G18" s="10" t="str">
        <x:v>Model Conventions</x:v>
      </x:c>
      <x:c r="H18" s="10" t="str">
        <x:v>Model Conventions</x:v>
      </x:c>
      <x:c r="I18" s="10" t="str">
        <x:v>Model Conventions</x:v>
      </x:c>
      <x:c r="J18" s="10" t="str">
        <x:v>Model Conventions</x:v>
      </x:c>
      <x:c r="K18" s="10" t="str">
        <x:v>Model Conventions</x:v>
      </x:c>
    </x:row>
    <x:row r="19" ht="27" customHeight="1">
      <x:c r="A19" s="21" t="str">
        <x:v>High</x:v>
      </x:c>
      <x:c r="B19" s="76" t="n">
        <x:v>1.4</x:v>
      </x:c>
      <x:c r="C19" s="76" t="n">
        <x:v>1.3</x:v>
      </x:c>
      <x:c r="D19" s="76" t="n">
        <x:v>1.1</x:v>
      </x:c>
      <x:c r="E19" s="21" t="str">
        <x:v>Higher activity, longer prompts, and cost pressure</x:v>
      </x:c>
      <x:c r="G19" s="64" t="str">
        <x:v>Currency: USD | Counts: individual completed actions and credits</x:v>
      </x:c>
      <x:c r="H19" s="64"/>
      <x:c r="I19" s="64"/>
      <x:c r="J19" s="64"/>
      <x:c r="K19" s="64"/>
    </x:row>
    <x:row r="20" ht="27" customHeight="1">
      <x:c r="G20" s="64" t="str">
        <x:v>Period basis: monthly; annual EVE estimates are divided by expected annual actions</x:v>
      </x:c>
      <x:c r="H20" s="64"/>
      <x:c r="I20" s="64"/>
      <x:c r="J20" s="64"/>
      <x:c r="K20" s="64"/>
    </x:row>
    <x:row r="21" ht="27" customHeight="1">
      <x:c r="G21" s="64" t="str">
        <x:v>Base scenario: current-month run rate; Customer Drivers also calculates month-12 exit volume</x:v>
      </x:c>
      <x:c r="H21" s="64"/>
      <x:c r="I21" s="64"/>
      <x:c r="J21" s="64"/>
      <x:c r="K21" s="64"/>
    </x:row>
    <x:row r="22" ht="27" customHeight="1">
      <x:c r="G22" s="64" t="str">
        <x:v>Breakage policy: unused credits are disclosed but never used to rescue poor unit economics</x:v>
      </x:c>
      <x:c r="H22" s="64"/>
      <x:c r="I22" s="64"/>
      <x:c r="J22" s="64"/>
      <x:c r="K22" s="64"/>
    </x:row>
  </x:sheetData>
  <x:mergeCells>
    <x:mergeCell ref="A1:K1"/>
    <x:mergeCell ref="A2:K2"/>
    <x:mergeCell ref="A4:D4"/>
    <x:mergeCell ref="A15:E15"/>
    <x:mergeCell ref="G4:I4"/>
    <x:mergeCell ref="G11:K11"/>
    <x:mergeCell ref="G18:K18"/>
    <x:mergeCell ref="G19:K19"/>
    <x:mergeCell ref="G20:K20"/>
    <x:mergeCell ref="G21:K21"/>
    <x:mergeCell ref="G22:K22"/>
  </x:mergeCells>
  <x:pageMargins left="0.7" right="0.7" top="0.75" bottom="0.75" header="0.3" footer="0.3"/>
  <x:legacyDrawing xmlns:r="http://schemas.openxmlformats.org/officeDocument/2006/relationships" r:id="R80e2e14b92ed418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8" hidden="0" customWidth="1"/>
    <x:col min="14" max="14" width="18" hidden="0" customWidth="1"/>
    <x:col min="15" max="15" width="16" hidden="0" customWidth="1"/>
    <x:col min="16" max="16" width="21" hidden="0" customWidth="1"/>
    <x:col min="17" max="17" width="42" hidden="0" customWidth="1"/>
  </x:cols>
  <x:sheetData>
    <x:row r="1" ht="34" customHeight="1">
      <x:c r="A1" s="3" t="str">
        <x:v>EVE Inputs</x:v>
      </x:c>
      <x:c r="B1" s="3" t="str">
        <x:v>EVE Inputs</x:v>
      </x:c>
      <x:c r="C1" s="3" t="str">
        <x:v>EVE Inputs</x:v>
      </x:c>
      <x:c r="D1" s="3" t="str">
        <x:v>EVE Inputs</x:v>
      </x:c>
      <x:c r="E1" s="3" t="str">
        <x:v>EVE Inputs</x:v>
      </x:c>
      <x:c r="F1" s="3" t="str">
        <x:v>EVE Inputs</x:v>
      </x:c>
      <x:c r="G1" s="3" t="str">
        <x:v>EVE Inputs</x:v>
      </x:c>
      <x:c r="H1" s="3" t="str">
        <x:v>EVE Inputs</x:v>
      </x:c>
      <x:c r="I1" s="3" t="str">
        <x:v>EVE Inputs</x:v>
      </x:c>
      <x:c r="J1" s="3" t="str">
        <x:v>EVE Inputs</x:v>
      </x:c>
      <x:c r="K1" s="3" t="str">
        <x:v>EVE Inputs</x:v>
      </x:c>
      <x:c r="L1" s="3" t="str">
        <x:v>EVE Inputs</x:v>
      </x:c>
      <x:c r="M1" s="3" t="str">
        <x:v>EVE Inputs</x:v>
      </x:c>
      <x:c r="N1" s="3" t="str">
        <x:v>EVE Inputs</x:v>
      </x:c>
      <x:c r="O1" s="3" t="str">
        <x:v>EVE Inputs</x:v>
      </x:c>
      <x:c r="P1" s="3" t="str">
        <x:v>EVE Inputs</x:v>
      </x:c>
      <x:c r="Q1" s="3" t="str">
        <x:v>EVE Inputs</x:v>
      </x:c>
    </x:row>
    <x:row r="2" ht="30" customHeight="1">
      <x:c r="A2" s="7" t="str">
        <x:v>Annual customer value is converted to a per-action value and discounted by evidence confidence. All amounts are illustrative assumptions in USD.</x:v>
      </x:c>
      <x:c r="B2" s="7" t="str">
        <x:v>Annual customer value is converted to a per-action value and discounted by evidence confidence. All amounts are illustrative assumptions in USD.</x:v>
      </x:c>
      <x:c r="C2" s="7" t="str">
        <x:v>Annual customer value is converted to a per-action value and discounted by evidence confidence. All amounts are illustrative assumptions in USD.</x:v>
      </x:c>
      <x:c r="D2" s="7" t="str">
        <x:v>Annual customer value is converted to a per-action value and discounted by evidence confidence. All amounts are illustrative assumptions in USD.</x:v>
      </x:c>
      <x:c r="E2" s="7" t="str">
        <x:v>Annual customer value is converted to a per-action value and discounted by evidence confidence. All amounts are illustrative assumptions in USD.</x:v>
      </x:c>
      <x:c r="F2" s="7" t="str">
        <x:v>Annual customer value is converted to a per-action value and discounted by evidence confidence. All amounts are illustrative assumptions in USD.</x:v>
      </x:c>
      <x:c r="G2" s="7" t="str">
        <x:v>Annual customer value is converted to a per-action value and discounted by evidence confidence. All amounts are illustrative assumptions in USD.</x:v>
      </x:c>
      <x:c r="H2" s="7" t="str">
        <x:v>Annual customer value is converted to a per-action value and discounted by evidence confidence. All amounts are illustrative assumptions in USD.</x:v>
      </x:c>
      <x:c r="I2" s="7" t="str">
        <x:v>Annual customer value is converted to a per-action value and discounted by evidence confidence. All amounts are illustrative assumptions in USD.</x:v>
      </x:c>
      <x:c r="J2" s="7" t="str">
        <x:v>Annual customer value is converted to a per-action value and discounted by evidence confidence. All amounts are illustrative assumptions in USD.</x:v>
      </x:c>
      <x:c r="K2" s="7" t="str">
        <x:v>Annual customer value is converted to a per-action value and discounted by evidence confidence. All amounts are illustrative assumptions in USD.</x:v>
      </x:c>
      <x:c r="L2" s="7" t="str">
        <x:v>Annual customer value is converted to a per-action value and discounted by evidence confidence. All amounts are illustrative assumptions in USD.</x:v>
      </x:c>
      <x:c r="M2" s="7" t="str">
        <x:v>Annual customer value is converted to a per-action value and discounted by evidence confidence. All amounts are illustrative assumptions in USD.</x:v>
      </x:c>
      <x:c r="N2" s="7" t="str">
        <x:v>Annual customer value is converted to a per-action value and discounted by evidence confidence. All amounts are illustrative assumptions in USD.</x:v>
      </x:c>
      <x:c r="O2" s="7" t="str">
        <x:v>Annual customer value is converted to a per-action value and discounted by evidence confidence. All amounts are illustrative assumptions in USD.</x:v>
      </x:c>
      <x:c r="P2" s="7" t="str">
        <x:v>Annual customer value is converted to a per-action value and discounted by evidence confidence. All amounts are illustrative assumptions in USD.</x:v>
      </x:c>
      <x:c r="Q2" s="7" t="str">
        <x:v>Annual customer value is converted to a per-action value and discounted by evidence confidence. All amounts are illustrative assumptions in USD.</x:v>
      </x:c>
    </x:row>
    <x:row r="4" ht="24" customHeight="1">
      <x:c r="A4" s="10" t="str">
        <x:v>Economic Value Evidence by Completed Action</x:v>
      </x:c>
      <x:c r="B4" s="10" t="str">
        <x:v>Economic Value Evidence by Completed Action</x:v>
      </x:c>
      <x:c r="C4" s="10" t="str">
        <x:v>Economic Value Evidence by Completed Action</x:v>
      </x:c>
      <x:c r="D4" s="10" t="str">
        <x:v>Economic Value Evidence by Completed Action</x:v>
      </x:c>
      <x:c r="E4" s="10" t="str">
        <x:v>Economic Value Evidence by Completed Action</x:v>
      </x:c>
      <x:c r="F4" s="10" t="str">
        <x:v>Economic Value Evidence by Completed Action</x:v>
      </x:c>
      <x:c r="G4" s="10" t="str">
        <x:v>Economic Value Evidence by Completed Action</x:v>
      </x:c>
      <x:c r="H4" s="10" t="str">
        <x:v>Economic Value Evidence by Completed Action</x:v>
      </x:c>
      <x:c r="I4" s="10" t="str">
        <x:v>Economic Value Evidence by Completed Action</x:v>
      </x:c>
      <x:c r="J4" s="10" t="str">
        <x:v>Economic Value Evidence by Completed Action</x:v>
      </x:c>
      <x:c r="K4" s="10" t="str">
        <x:v>Economic Value Evidence by Completed Action</x:v>
      </x:c>
      <x:c r="L4" s="10" t="str">
        <x:v>Economic Value Evidence by Completed Action</x:v>
      </x:c>
      <x:c r="M4" s="10" t="str">
        <x:v>Economic Value Evidence by Completed Action</x:v>
      </x:c>
      <x:c r="N4" s="10" t="str">
        <x:v>Economic Value Evidence by Completed Action</x:v>
      </x:c>
      <x:c r="O4" s="10" t="str">
        <x:v>Economic Value Evidence by Completed Action</x:v>
      </x:c>
      <x:c r="P4" s="10" t="str">
        <x:v>Economic Value Evidence by Completed Action</x:v>
      </x:c>
      <x:c r="Q4" s="10" t="str">
        <x:v>Economic Value Evidence by Completed Action</x:v>
      </x:c>
    </x:row>
    <x:row r="5" ht="34" customHeight="1">
      <x:c r="A5" s="54" t="str">
        <x:v>Metric</x:v>
      </x:c>
      <x:c r="B5" s="55" t="str">
        <x:v>Revenue Enhancement ($/yr)</x:v>
      </x:c>
      <x:c r="C5" s="55" t="str">
        <x:v>Labor / Cost Savings ($/yr)</x:v>
      </x:c>
      <x:c r="D5" s="55" t="str">
        <x:v>Loss Amount ($)</x:v>
      </x:c>
      <x:c r="E5" s="55" t="str">
        <x:v>Probability Before</x:v>
      </x:c>
      <x:c r="F5" s="55" t="str">
        <x:v>Probability After</x:v>
      </x:c>
      <x:c r="G5" s="55" t="str">
        <x:v>Expected Loss Avoided ($/yr)</x:v>
      </x:c>
      <x:c r="H5" s="55" t="str">
        <x:v>Capital Benefit ($/yr)</x:v>
      </x:c>
      <x:c r="I5" s="55" t="str">
        <x:v>Option Value ($/yr)</x:v>
      </x:c>
      <x:c r="J5" s="55" t="str">
        <x:v>Unique Customer Costs ($/yr)</x:v>
      </x:c>
      <x:c r="K5" s="55" t="str">
        <x:v>Expected Shortfall ($/yr)</x:v>
      </x:c>
      <x:c r="L5" s="55" t="str">
        <x:v>Annual Adjusted Value ($/yr)</x:v>
      </x:c>
      <x:c r="M5" s="55" t="str">
        <x:v>Expected Annual Actions</x:v>
      </x:c>
      <x:c r="N5" s="55" t="str">
        <x:v>Estimated Value / Action</x:v>
      </x:c>
      <x:c r="O5" s="55" t="str">
        <x:v>Evidence Confidence</x:v>
      </x:c>
      <x:c r="P5" s="55" t="str">
        <x:v>Confidence-Adjusted Value / Action</x:v>
      </x:c>
      <x:c r="Q5" s="56" t="str">
        <x:v>Evidence Basis / Notes</x:v>
      </x:c>
    </x:row>
    <x:row r="6" ht="38" customHeight="1">
      <x:c r="A6" s="18" t="str">
        <x:v>agent.summarize</x:v>
      </x:c>
      <x:c r="B6" s="77" t="n">
        <x:v>10000</x:v>
      </x:c>
      <x:c r="C6" s="77" t="n">
        <x:v>30000</x:v>
      </x:c>
      <x:c r="D6" s="77" t="n">
        <x:v>0</x:v>
      </x:c>
      <x:c r="E6" s="75" t="n">
        <x:v>0</x:v>
      </x:c>
      <x:c r="F6" s="75" t="n">
        <x:v>0</x:v>
      </x:c>
      <x:c r="G6" s="82" t="n">
        <x:f>D6*E6-D6*F6</x:f>
        <x:v>0</x:v>
      </x:c>
      <x:c r="H6" s="77" t="n">
        <x:v>0</x:v>
      </x:c>
      <x:c r="I6" s="77" t="n">
        <x:v>2000</x:v>
      </x:c>
      <x:c r="J6" s="77" t="n">
        <x:v>2000</x:v>
      </x:c>
      <x:c r="K6" s="77" t="n">
        <x:v>0</x:v>
      </x:c>
      <x:c r="L6" s="82" t="n">
        <x:f>B6+C6+G6+H6+I6-J6-K6</x:f>
        <x:v>40000</x:v>
      </x:c>
      <x:c r="M6" s="80" t="n">
        <x:v>50000</x:v>
      </x:c>
      <x:c r="N6" s="85" t="n">
        <x:f>IF(M6=0,0,L6/M6)</x:f>
        <x:v>0.8</x:v>
      </x:c>
      <x:c r="O6" s="75" t="n">
        <x:v>0.9</x:v>
      </x:c>
      <x:c r="P6" s="85" t="n">
        <x:f>N6*O6</x:f>
        <x:v>0.7200000000000001</x:v>
      </x:c>
      <x:c r="Q6" s="88" t="str">
        <x:v>Illustrative measured-result confidence; replace with customer outcome data.</x:v>
      </x:c>
    </x:row>
    <x:row r="7" ht="38" customHeight="1">
      <x:c r="A7" s="19" t="str">
        <x:v>agent.deep_research</x:v>
      </x:c>
      <x:c r="B7" s="78" t="n">
        <x:v>100000</x:v>
      </x:c>
      <x:c r="C7" s="78" t="n">
        <x:v>70000</x:v>
      </x:c>
      <x:c r="D7" s="78" t="n">
        <x:v>50000</x:v>
      </x:c>
      <x:c r="E7" s="72" t="n">
        <x:v>0.3</x:v>
      </x:c>
      <x:c r="F7" s="72" t="n">
        <x:v>0.1</x:v>
      </x:c>
      <x:c r="G7" s="83" t="n">
        <x:f>D7*E7-D7*F7</x:f>
        <x:v>10000</x:v>
      </x:c>
      <x:c r="H7" s="78" t="n">
        <x:v>25000</x:v>
      </x:c>
      <x:c r="I7" s="78" t="n">
        <x:v>10000</x:v>
      </x:c>
      <x:c r="J7" s="78" t="n">
        <x:v>10000</x:v>
      </x:c>
      <x:c r="K7" s="78" t="n">
        <x:v>5000</x:v>
      </x:c>
      <x:c r="L7" s="83" t="n">
        <x:f>B7+C7+G7+H7+I7-J7-K7</x:f>
        <x:v>200000</x:v>
      </x:c>
      <x:c r="M7" s="73" t="n">
        <x:v>45000</x:v>
      </x:c>
      <x:c r="N7" s="86" t="n">
        <x:f>IF(M7=0,0,L7/M7)</x:f>
        <x:v>4.444444444444445</x:v>
      </x:c>
      <x:c r="O7" s="72" t="n">
        <x:v>0.9</x:v>
      </x:c>
      <x:c r="P7" s="86" t="n">
        <x:f>N7*O7</x:f>
        <x:v>4</x:v>
      </x:c>
      <x:c r="Q7" s="89" t="str">
        <x:v>Worked example: $200k annual value / 45k actions × 90% = $4.00/action.</x:v>
      </x:c>
    </x:row>
    <x:row r="8" ht="38" customHeight="1">
      <x:c r="A8" s="19" t="str">
        <x:v>agent.classify</x:v>
      </x:c>
      <x:c r="B8" s="78" t="n">
        <x:v>0</x:v>
      </x:c>
      <x:c r="C8" s="78" t="n">
        <x:v>25000</x:v>
      </x:c>
      <x:c r="D8" s="78" t="n">
        <x:v>10000</x:v>
      </x:c>
      <x:c r="E8" s="72" t="n">
        <x:v>0.1</x:v>
      </x:c>
      <x:c r="F8" s="72" t="n">
        <x:v>0.02</x:v>
      </x:c>
      <x:c r="G8" s="83" t="n">
        <x:f>D8*E8-D8*F8</x:f>
        <x:v>800</x:v>
      </x:c>
      <x:c r="H8" s="78" t="n">
        <x:v>0</x:v>
      </x:c>
      <x:c r="I8" s="78" t="n">
        <x:v>0</x:v>
      </x:c>
      <x:c r="J8" s="78" t="n">
        <x:v>800</x:v>
      </x:c>
      <x:c r="K8" s="78" t="n">
        <x:v>0</x:v>
      </x:c>
      <x:c r="L8" s="83" t="n">
        <x:f>B8+C8+G8+H8+I8-J8-K8</x:f>
        <x:v>25000</x:v>
      </x:c>
      <x:c r="M8" s="73" t="n">
        <x:v>80000</x:v>
      </x:c>
      <x:c r="N8" s="86" t="n">
        <x:f>IF(M8=0,0,L8/M8)</x:f>
        <x:v>0.3125</x:v>
      </x:c>
      <x:c r="O8" s="72" t="n">
        <x:v>0.6</x:v>
      </x:c>
      <x:c r="P8" s="86" t="n">
        <x:f>N8*O8</x:f>
        <x:v>0.1875</x:v>
      </x:c>
      <x:c r="Q8" s="89" t="str">
        <x:v>Illustrative customer-research estimate.</x:v>
      </x:c>
    </x:row>
    <x:row r="9" ht="38" customHeight="1">
      <x:c r="A9" s="19" t="str">
        <x:v>agent.extract</x:v>
      </x:c>
      <x:c r="B9" s="78" t="n">
        <x:v>15000</x:v>
      </x:c>
      <x:c r="C9" s="78" t="n">
        <x:v>60000</x:v>
      </x:c>
      <x:c r="D9" s="78" t="n">
        <x:v>30000</x:v>
      </x:c>
      <x:c r="E9" s="72" t="n">
        <x:v>0.08</x:v>
      </x:c>
      <x:c r="F9" s="72" t="n">
        <x:v>0.03</x:v>
      </x:c>
      <x:c r="G9" s="83" t="n">
        <x:f>D9*E9-D9*F9</x:f>
        <x:v>1500</x:v>
      </x:c>
      <x:c r="H9" s="78" t="n">
        <x:v>5000</x:v>
      </x:c>
      <x:c r="I9" s="78" t="n">
        <x:v>0</x:v>
      </x:c>
      <x:c r="J9" s="78" t="n">
        <x:v>5000</x:v>
      </x:c>
      <x:c r="K9" s="78" t="n">
        <x:v>1500</x:v>
      </x:c>
      <x:c r="L9" s="83" t="n">
        <x:f>B9+C9+G9+H9+I9-J9-K9</x:f>
        <x:v>75000</x:v>
      </x:c>
      <x:c r="M9" s="73" t="n">
        <x:v>60000</x:v>
      </x:c>
      <x:c r="N9" s="86" t="n">
        <x:f>IF(M9=0,0,L9/M9)</x:f>
        <x:v>1.25</x:v>
      </x:c>
      <x:c r="O9" s="72" t="n">
        <x:v>0.6</x:v>
      </x:c>
      <x:c r="P9" s="86" t="n">
        <x:f>N9*O9</x:f>
        <x:v>0.75</x:v>
      </x:c>
      <x:c r="Q9" s="89" t="str">
        <x:v>Illustrative customer-research estimate.</x:v>
      </x:c>
    </x:row>
    <x:row r="10" ht="38" customHeight="1">
      <x:c r="A10" s="19" t="str">
        <x:v>agent.draft_email</x:v>
      </x:c>
      <x:c r="B10" s="78" t="n">
        <x:v>40000</x:v>
      </x:c>
      <x:c r="C10" s="78" t="n">
        <x:v>70000</x:v>
      </x:c>
      <x:c r="D10" s="78" t="n">
        <x:v>20000</x:v>
      </x:c>
      <x:c r="E10" s="72" t="n">
        <x:v>0.05</x:v>
      </x:c>
      <x:c r="F10" s="72" t="n">
        <x:v>0.02</x:v>
      </x:c>
      <x:c r="G10" s="83" t="n">
        <x:f>D10*E10-D10*F10</x:f>
        <x:v>600</x:v>
      </x:c>
      <x:c r="H10" s="78" t="n">
        <x:v>0</x:v>
      </x:c>
      <x:c r="I10" s="78" t="n">
        <x:v>5000</x:v>
      </x:c>
      <x:c r="J10" s="78" t="n">
        <x:v>10000</x:v>
      </x:c>
      <x:c r="K10" s="78" t="n">
        <x:v>5600</x:v>
      </x:c>
      <x:c r="L10" s="83" t="n">
        <x:f>B10+C10+G10+H10+I10-J10-K10</x:f>
        <x:v>100000</x:v>
      </x:c>
      <x:c r="M10" s="73" t="n">
        <x:v>50000</x:v>
      </x:c>
      <x:c r="N10" s="86" t="n">
        <x:f>IF(M10=0,0,L10/M10)</x:f>
        <x:v>2</x:v>
      </x:c>
      <x:c r="O10" s="72" t="n">
        <x:v>0.6</x:v>
      </x:c>
      <x:c r="P10" s="86" t="n">
        <x:f>N10*O10</x:f>
        <x:v>1.2</x:v>
      </x:c>
      <x:c r="Q10" s="89" t="str">
        <x:v>Illustrative customer-research estimate.</x:v>
      </x:c>
    </x:row>
    <x:row r="11" ht="38" customHeight="1">
      <x:c r="A11" s="19" t="str">
        <x:v>agent.compare</x:v>
      </x:c>
      <x:c r="B11" s="78" t="n">
        <x:v>30000</x:v>
      </x:c>
      <x:c r="C11" s="78" t="n">
        <x:v>90000</x:v>
      </x:c>
      <x:c r="D11" s="78" t="n">
        <x:v>100000</x:v>
      </x:c>
      <x:c r="E11" s="72" t="n">
        <x:v>0.08</x:v>
      </x:c>
      <x:c r="F11" s="72" t="n">
        <x:v>0.03</x:v>
      </x:c>
      <x:c r="G11" s="83" t="n">
        <x:f>D11*E11-D11*F11</x:f>
        <x:v>5000</x:v>
      </x:c>
      <x:c r="H11" s="78" t="n">
        <x:v>10000</x:v>
      </x:c>
      <x:c r="I11" s="78" t="n">
        <x:v>5000</x:v>
      </x:c>
      <x:c r="J11" s="78" t="n">
        <x:v>10000</x:v>
      </x:c>
      <x:c r="K11" s="78" t="n">
        <x:v>5000</x:v>
      </x:c>
      <x:c r="L11" s="83" t="n">
        <x:f>B11+C11+G11+H11+I11-J11-K11</x:f>
        <x:v>125000</x:v>
      </x:c>
      <x:c r="M11" s="73" t="n">
        <x:v>50000</x:v>
      </x:c>
      <x:c r="N11" s="86" t="n">
        <x:f>IF(M11=0,0,L11/M11)</x:f>
        <x:v>2.5</x:v>
      </x:c>
      <x:c r="O11" s="72" t="n">
        <x:v>0.6</x:v>
      </x:c>
      <x:c r="P11" s="86" t="n">
        <x:f>N11*O11</x:f>
        <x:v>1.5</x:v>
      </x:c>
      <x:c r="Q11" s="89" t="str">
        <x:v>Illustrative customer-research estimate.</x:v>
      </x:c>
    </x:row>
    <x:row r="12" ht="38" customHeight="1">
      <x:c r="A12" s="19" t="str">
        <x:v>agent.monitor_alert</x:v>
      </x:c>
      <x:c r="B12" s="78" t="n">
        <x:v>20000</x:v>
      </x:c>
      <x:c r="C12" s="78" t="n">
        <x:v>40000</x:v>
      </x:c>
      <x:c r="D12" s="78" t="n">
        <x:v>500000</x:v>
      </x:c>
      <x:c r="E12" s="72" t="n">
        <x:v>0.04</x:v>
      </x:c>
      <x:c r="F12" s="72" t="n">
        <x:v>0.025</x:v>
      </x:c>
      <x:c r="G12" s="83" t="n">
        <x:f>D12*E12-D12*F12</x:f>
        <x:v>7500</x:v>
      </x:c>
      <x:c r="H12" s="78" t="n">
        <x:v>0</x:v>
      </x:c>
      <x:c r="I12" s="78" t="n">
        <x:v>5000</x:v>
      </x:c>
      <x:c r="J12" s="78" t="n">
        <x:v>10000</x:v>
      </x:c>
      <x:c r="K12" s="78" t="n">
        <x:v>2500</x:v>
      </x:c>
      <x:c r="L12" s="83" t="n">
        <x:f>B12+C12+G12+H12+I12-J12-K12</x:f>
        <x:v>60000</x:v>
      </x:c>
      <x:c r="M12" s="73" t="n">
        <x:v>150000</x:v>
      </x:c>
      <x:c r="N12" s="86" t="n">
        <x:f>IF(M12=0,0,L12/M12)</x:f>
        <x:v>0.4</x:v>
      </x:c>
      <x:c r="O12" s="72" t="n">
        <x:v>0.6</x:v>
      </x:c>
      <x:c r="P12" s="86" t="n">
        <x:f>N12*O12</x:f>
        <x:v>0.24</x:v>
      </x:c>
      <x:c r="Q12" s="89" t="str">
        <x:v>Illustrative customer-research estimate.</x:v>
      </x:c>
    </x:row>
    <x:row r="13" ht="38" customHeight="1">
      <x:c r="A13" s="21" t="str">
        <x:v>agent.generate_report</x:v>
      </x:c>
      <x:c r="B13" s="79" t="n">
        <x:v>80000</x:v>
      </x:c>
      <x:c r="C13" s="79" t="n">
        <x:v>100000</x:v>
      </x:c>
      <x:c r="D13" s="79" t="n">
        <x:v>50000</x:v>
      </x:c>
      <x:c r="E13" s="76" t="n">
        <x:v>0.1</x:v>
      </x:c>
      <x:c r="F13" s="76" t="n">
        <x:v>0.04</x:v>
      </x:c>
      <x:c r="G13" s="84" t="n">
        <x:f>D13*E13-D13*F13</x:f>
        <x:v>3000</x:v>
      </x:c>
      <x:c r="H13" s="79" t="n">
        <x:v>10000</x:v>
      </x:c>
      <x:c r="I13" s="79" t="n">
        <x:v>10000</x:v>
      </x:c>
      <x:c r="J13" s="79" t="n">
        <x:v>20000</x:v>
      </x:c>
      <x:c r="K13" s="79" t="n">
        <x:v>3000</x:v>
      </x:c>
      <x:c r="L13" s="84" t="n">
        <x:f>B13+C13+G13+H13+I13-J13-K13</x:f>
        <x:v>180000</x:v>
      </x:c>
      <x:c r="M13" s="81" t="n">
        <x:v>60000</x:v>
      </x:c>
      <x:c r="N13" s="87" t="n">
        <x:f>IF(M13=0,0,L13/M13)</x:f>
        <x:v>3</x:v>
      </x:c>
      <x:c r="O13" s="76" t="n">
        <x:v>0.9</x:v>
      </x:c>
      <x:c r="P13" s="87" t="n">
        <x:f>N13*O13</x:f>
        <x:v>2.7</x:v>
      </x:c>
      <x:c r="Q13" s="90" t="str">
        <x:v>Illustrative measured-result confidence; validate in production.</x:v>
      </x:c>
    </x:row>
    <x:row r="15" ht="26" customHeight="1">
      <x:c r="A15" s="92" t="str">
        <x:v>EVE definition: customer value = revenue enhancement + labor/cost savings + expected loss avoided + capital benefit + option value − unique customer costs − expected shortfall.</x:v>
      </x:c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</x:row>
    <x:row r="16" ht="26" customHeight="1">
      <x:c r="A16" s="92" t="str">
        <x:v>Confidence guidance: 30% unsupported estimate, 60% customer research, 90% measured result. Update both the input and the evidence note as validation improves.</x:v>
      </x:c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</x:row>
  </x:sheetData>
  <x:mergeCells>
    <x:mergeCell ref="A1:Q1"/>
    <x:mergeCell ref="A2:Q2"/>
    <x:mergeCell ref="A4:Q4"/>
    <x:mergeCell ref="A15:Q15"/>
    <x:mergeCell ref="A16:Q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3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5" hidden="0" customWidth="1"/>
    <x:col min="15" max="15" width="16" hidden="0" customWidth="1"/>
    <x:col min="16" max="16" width="17" hidden="0" customWidth="1"/>
  </x:cols>
  <x:sheetData>
    <x:row r="1" ht="34" customHeight="1">
      <x:c r="A1" s="3" t="str">
        <x:v>Metric Weights</x:v>
      </x:c>
      <x:c r="B1" s="3" t="str">
        <x:v>Metric Weights</x:v>
      </x:c>
      <x:c r="C1" s="3" t="str">
        <x:v>Metric Weights</x:v>
      </x:c>
      <x:c r="D1" s="3" t="str">
        <x:v>Metric Weights</x:v>
      </x:c>
      <x:c r="E1" s="3" t="str">
        <x:v>Metric Weights</x:v>
      </x:c>
      <x:c r="F1" s="3" t="str">
        <x:v>Metric Weights</x:v>
      </x:c>
      <x:c r="G1" s="3" t="str">
        <x:v>Metric Weights</x:v>
      </x:c>
      <x:c r="H1" s="3" t="str">
        <x:v>Metric Weights</x:v>
      </x:c>
      <x:c r="I1" s="3" t="str">
        <x:v>Metric Weights</x:v>
      </x:c>
      <x:c r="J1" s="3" t="str">
        <x:v>Metric Weights</x:v>
      </x:c>
      <x:c r="K1" s="3" t="str">
        <x:v>Metric Weights</x:v>
      </x:c>
      <x:c r="L1" s="3" t="str">
        <x:v>Metric Weights</x:v>
      </x:c>
      <x:c r="M1" s="3" t="str">
        <x:v>Metric Weights</x:v>
      </x:c>
      <x:c r="N1" s="3" t="str">
        <x:v>Metric Weights</x:v>
      </x:c>
      <x:c r="O1" s="3" t="str">
        <x:v>Metric Weights</x:v>
      </x:c>
      <x:c r="P1" s="3" t="str">
        <x:v>Metric Weights</x:v>
      </x:c>
    </x:row>
    <x:row r="2" ht="30" customHeight="1">
      <x:c r="A2" s="7" t="str">
        <x:v>Cost floor, customer-value support, and guardrails determine the recommended credits per completed action.</x:v>
      </x:c>
      <x:c r="B2" s="7" t="str">
        <x:v>Cost floor, customer-value support, and guardrails determine the recommended credits per completed action.</x:v>
      </x:c>
      <x:c r="C2" s="7" t="str">
        <x:v>Cost floor, customer-value support, and guardrails determine the recommended credits per completed action.</x:v>
      </x:c>
      <x:c r="D2" s="7" t="str">
        <x:v>Cost floor, customer-value support, and guardrails determine the recommended credits per completed action.</x:v>
      </x:c>
      <x:c r="E2" s="7" t="str">
        <x:v>Cost floor, customer-value support, and guardrails determine the recommended credits per completed action.</x:v>
      </x:c>
      <x:c r="F2" s="7" t="str">
        <x:v>Cost floor, customer-value support, and guardrails determine the recommended credits per completed action.</x:v>
      </x:c>
      <x:c r="G2" s="7" t="str">
        <x:v>Cost floor, customer-value support, and guardrails determine the recommended credits per completed action.</x:v>
      </x:c>
      <x:c r="H2" s="7" t="str">
        <x:v>Cost floor, customer-value support, and guardrails determine the recommended credits per completed action.</x:v>
      </x:c>
      <x:c r="I2" s="7" t="str">
        <x:v>Cost floor, customer-value support, and guardrails determine the recommended credits per completed action.</x:v>
      </x:c>
      <x:c r="J2" s="7" t="str">
        <x:v>Cost floor, customer-value support, and guardrails determine the recommended credits per completed action.</x:v>
      </x:c>
      <x:c r="K2" s="7" t="str">
        <x:v>Cost floor, customer-value support, and guardrails determine the recommended credits per completed action.</x:v>
      </x:c>
      <x:c r="L2" s="7" t="str">
        <x:v>Cost floor, customer-value support, and guardrails determine the recommended credits per completed action.</x:v>
      </x:c>
      <x:c r="M2" s="7" t="str">
        <x:v>Cost floor, customer-value support, and guardrails determine the recommended credits per completed action.</x:v>
      </x:c>
      <x:c r="N2" s="7" t="str">
        <x:v>Cost floor, customer-value support, and guardrails determine the recommended credits per completed action.</x:v>
      </x:c>
      <x:c r="O2" s="7" t="str">
        <x:v>Cost floor, customer-value support, and guardrails determine the recommended credits per completed action.</x:v>
      </x:c>
      <x:c r="P2" s="7" t="str">
        <x:v>Cost floor, customer-value support, and guardrails determine the recommended credits per completed action.</x:v>
      </x:c>
    </x:row>
    <x:row r="4" ht="24" customHeight="1">
      <x:c r="A4" s="10" t="str">
        <x:v>Action Economics and Recommended Credit Weights</x:v>
      </x:c>
      <x:c r="B4" s="10" t="str">
        <x:v>Action Economics and Recommended Credit Weights</x:v>
      </x:c>
      <x:c r="C4" s="10" t="str">
        <x:v>Action Economics and Recommended Credit Weights</x:v>
      </x:c>
      <x:c r="D4" s="10" t="str">
        <x:v>Action Economics and Recommended Credit Weights</x:v>
      </x:c>
      <x:c r="E4" s="10" t="str">
        <x:v>Action Economics and Recommended Credit Weights</x:v>
      </x:c>
      <x:c r="F4" s="10" t="str">
        <x:v>Action Economics and Recommended Credit Weights</x:v>
      </x:c>
      <x:c r="G4" s="10" t="str">
        <x:v>Action Economics and Recommended Credit Weights</x:v>
      </x:c>
      <x:c r="H4" s="10" t="str">
        <x:v>Action Economics and Recommended Credit Weights</x:v>
      </x:c>
      <x:c r="I4" s="10" t="str">
        <x:v>Action Economics and Recommended Credit Weights</x:v>
      </x:c>
      <x:c r="J4" s="10" t="str">
        <x:v>Action Economics and Recommended Credit Weights</x:v>
      </x:c>
      <x:c r="K4" s="10" t="str">
        <x:v>Action Economics and Recommended Credit Weights</x:v>
      </x:c>
      <x:c r="L4" s="10" t="str">
        <x:v>Action Economics and Recommended Credit Weights</x:v>
      </x:c>
      <x:c r="M4" s="10" t="str">
        <x:v>Action Economics and Recommended Credit Weights</x:v>
      </x:c>
      <x:c r="N4" s="10" t="str">
        <x:v>Action Economics and Recommended Credit Weights</x:v>
      </x:c>
      <x:c r="O4" s="10" t="str">
        <x:v>Action Economics and Recommended Credit Weights</x:v>
      </x:c>
      <x:c r="P4" s="10" t="str">
        <x:v>Action Economics and Recommended Credit Weights</x:v>
      </x:c>
    </x:row>
    <x:row r="5" ht="34" customHeight="1">
      <x:c r="A5" s="54" t="str">
        <x:v>Metric</x:v>
      </x:c>
      <x:c r="B5" s="55" t="str">
        <x:v>Input Tokens</x:v>
      </x:c>
      <x:c r="C5" s="55" t="str">
        <x:v>Output Tokens</x:v>
      </x:c>
      <x:c r="D5" s="55" t="str">
        <x:v>Input Rate / M</x:v>
      </x:c>
      <x:c r="E5" s="55" t="str">
        <x:v>Output Rate / M</x:v>
      </x:c>
      <x:c r="F5" s="55" t="str">
        <x:v>Infra Cost</x:v>
      </x:c>
      <x:c r="G5" s="55" t="str">
        <x:v>Other Variable Cost</x:v>
      </x:c>
      <x:c r="H5" s="55" t="str">
        <x:v>Unit Cost</x:v>
      </x:c>
      <x:c r="I5" s="55" t="str">
        <x:v>Confidence-Adjusted Value</x:v>
      </x:c>
      <x:c r="J5" s="55" t="str">
        <x:v>Minimum Cost Credits</x:v>
      </x:c>
      <x:c r="K5" s="55" t="str">
        <x:v>Value-Supported Credits</x:v>
      </x:c>
      <x:c r="L5" s="55" t="str">
        <x:v>Maximum Value Credits</x:v>
      </x:c>
      <x:c r="M5" s="55" t="str">
        <x:v>Recommended Credit Weight</x:v>
      </x:c>
      <x:c r="N5" s="55" t="str">
        <x:v>Feasibility</x:v>
      </x:c>
      <x:c r="O5" s="55" t="str">
        <x:v>Revenue / Action</x:v>
      </x:c>
      <x:c r="P5" s="56" t="str">
        <x:v>Gross Margin / Action</x:v>
      </x:c>
    </x:row>
    <x:row r="6">
      <x:c r="A6" s="18" t="str">
        <x:v>agent.summarize</x:v>
      </x:c>
      <x:c r="B6" s="80" t="n">
        <x:v>4000</x:v>
      </x:c>
      <x:c r="C6" s="80" t="n">
        <x:v>500</x:v>
      </x:c>
      <x:c r="D6" s="93" t="n">
        <x:v>0.5</x:v>
      </x:c>
      <x:c r="E6" s="93" t="n">
        <x:v>2</x:v>
      </x:c>
      <x:c r="F6" s="93" t="n">
        <x:v>0.001</x:v>
      </x:c>
      <x:c r="G6" s="93" t="n">
        <x:v>0</x:v>
      </x:c>
      <x:c r="H6" s="58" t="n">
        <x:f>(B6/1000000*D6)+(C6/1000000*E6)+F6+G6</x:f>
        <x:v>0.004</x:v>
      </x:c>
      <x:c r="I6" s="95" t="n">
        <x:f>INDEX('EVE Inputs'!$P$6:$P$13,MATCH(A6,'EVE Inputs'!$A$6:$A$13,0))</x:f>
        <x:v>0.7200000000000001</x:v>
      </x:c>
      <x:c r="J6" s="28" t="n">
        <x:f>CEILING(H6/('Assumptions'!$C$6*(1-'Assumptions'!$C$7)),'Assumptions'!$C$10)</x:f>
        <x:v>2</x:v>
      </x:c>
      <x:c r="K6" s="28" t="n">
        <x:f>ROUND(I6*'Assumptions'!$C$8/'Assumptions'!$C$6,0)</x:f>
        <x:v>4</x:v>
      </x:c>
      <x:c r="L6" s="28" t="n">
        <x:f>FLOOR(I6*'Assumptions'!$C$9/'Assumptions'!$C$6,'Assumptions'!$C$10)</x:f>
        <x:v>7</x:v>
      </x:c>
      <x:c r="M6" s="100" t="n">
        <x:f>MAX(J6,K6)</x:f>
        <x:v>4</x:v>
      </x:c>
      <x:c r="N6" s="18" t="str">
        <x:f>IF(J6&gt;L6,"ECONOMICALLY INFEASIBLE","OK")</x:f>
        <x:v>OK</x:v>
      </x:c>
      <x:c r="O6" s="57" t="n">
        <x:f>M6*'Assumptions'!$C$6</x:f>
        <x:v>0.04</x:v>
      </x:c>
      <x:c r="P6" s="103" t="n">
        <x:f>IF(O6=0,0,(O6-H6)/O6)</x:f>
        <x:v>0.9000000000000001</x:v>
      </x:c>
    </x:row>
    <x:row r="7">
      <x:c r="A7" s="19" t="str">
        <x:v>agent.deep_research</x:v>
      </x:c>
      <x:c r="B7" s="73" t="n">
        <x:v>20000</x:v>
      </x:c>
      <x:c r="C7" s="73" t="n">
        <x:v>4000</x:v>
      </x:c>
      <x:c r="D7" s="94" t="n">
        <x:v>0.5</x:v>
      </x:c>
      <x:c r="E7" s="94" t="n">
        <x:v>2</x:v>
      </x:c>
      <x:c r="F7" s="94" t="n">
        <x:v>0.002</x:v>
      </x:c>
      <x:c r="G7" s="94" t="n">
        <x:v>0</x:v>
      </x:c>
      <x:c r="H7" s="96" t="n">
        <x:f>(B7/1000000*D7)+(C7/1000000*E7)+F7+G7</x:f>
        <x:v>0.020000000000000004</x:v>
      </x:c>
      <x:c r="I7" s="97" t="n">
        <x:f>INDEX('EVE Inputs'!$P$6:$P$13,MATCH(A7,'EVE Inputs'!$A$6:$A$13,0))</x:f>
        <x:v>4</x:v>
      </x:c>
      <x:c r="J7" s="34" t="n">
        <x:f>CEILING(H7/('Assumptions'!$C$6*(1-'Assumptions'!$C$7)),'Assumptions'!$C$10)</x:f>
        <x:v>7</x:v>
      </x:c>
      <x:c r="K7" s="34" t="n">
        <x:f>ROUND(I7*'Assumptions'!$C$8/'Assumptions'!$C$6,0)</x:f>
        <x:v>20</x:v>
      </x:c>
      <x:c r="L7" s="34" t="n">
        <x:f>FLOOR(I7*'Assumptions'!$C$9/'Assumptions'!$C$6,'Assumptions'!$C$10)</x:f>
        <x:v>40</x:v>
      </x:c>
      <x:c r="M7" s="59" t="n">
        <x:f>MAX(J7,K7)</x:f>
        <x:v>20</x:v>
      </x:c>
      <x:c r="N7" s="19" t="str">
        <x:f>IF(J7&gt;L7,"ECONOMICALLY INFEASIBLE","OK")</x:f>
        <x:v>OK</x:v>
      </x:c>
      <x:c r="O7" s="33" t="n">
        <x:f>M7*'Assumptions'!$C$6</x:f>
        <x:v>0.2</x:v>
      </x:c>
      <x:c r="P7" s="104" t="n">
        <x:f>IF(O7=0,0,(O7-H7)/O7)</x:f>
        <x:v>0.8999999999999999</x:v>
      </x:c>
    </x:row>
    <x:row r="8">
      <x:c r="A8" s="19" t="str">
        <x:v>agent.classify</x:v>
      </x:c>
      <x:c r="B8" s="73" t="n">
        <x:v>800</x:v>
      </x:c>
      <x:c r="C8" s="73" t="n">
        <x:v>100</x:v>
      </x:c>
      <x:c r="D8" s="94" t="n">
        <x:v>0.5</x:v>
      </x:c>
      <x:c r="E8" s="94" t="n">
        <x:v>2</x:v>
      </x:c>
      <x:c r="F8" s="94" t="n">
        <x:v>0.0005</x:v>
      </x:c>
      <x:c r="G8" s="94" t="n">
        <x:v>0</x:v>
      </x:c>
      <x:c r="H8" s="96" t="n">
        <x:f>(B8/1000000*D8)+(C8/1000000*E8)+F8+G8</x:f>
        <x:v>0.0011</x:v>
      </x:c>
      <x:c r="I8" s="97" t="n">
        <x:f>INDEX('EVE Inputs'!$P$6:$P$13,MATCH(A8,'EVE Inputs'!$A$6:$A$13,0))</x:f>
        <x:v>0.1875</x:v>
      </x:c>
      <x:c r="J8" s="34" t="n">
        <x:f>CEILING(H8/('Assumptions'!$C$6*(1-'Assumptions'!$C$7)),'Assumptions'!$C$10)</x:f>
        <x:v>1</x:v>
      </x:c>
      <x:c r="K8" s="34" t="n">
        <x:f>ROUND(I8*'Assumptions'!$C$8/'Assumptions'!$C$6,0)</x:f>
        <x:v>1</x:v>
      </x:c>
      <x:c r="L8" s="34" t="n">
        <x:f>FLOOR(I8*'Assumptions'!$C$9/'Assumptions'!$C$6,'Assumptions'!$C$10)</x:f>
        <x:v>1</x:v>
      </x:c>
      <x:c r="M8" s="59" t="n">
        <x:f>MAX(J8,K8)</x:f>
        <x:v>1</x:v>
      </x:c>
      <x:c r="N8" s="19" t="str">
        <x:f>IF(J8&gt;L8,"ECONOMICALLY INFEASIBLE","OK")</x:f>
        <x:v>OK</x:v>
      </x:c>
      <x:c r="O8" s="33" t="n">
        <x:f>M8*'Assumptions'!$C$6</x:f>
        <x:v>0.01</x:v>
      </x:c>
      <x:c r="P8" s="104" t="n">
        <x:f>IF(O8=0,0,(O8-H8)/O8)</x:f>
        <x:v>0.89</x:v>
      </x:c>
    </x:row>
    <x:row r="9">
      <x:c r="A9" s="19" t="str">
        <x:v>agent.extract</x:v>
      </x:c>
      <x:c r="B9" s="73" t="n">
        <x:v>2500</x:v>
      </x:c>
      <x:c r="C9" s="73" t="n">
        <x:v>400</x:v>
      </x:c>
      <x:c r="D9" s="94" t="n">
        <x:v>0.5</x:v>
      </x:c>
      <x:c r="E9" s="94" t="n">
        <x:v>2</x:v>
      </x:c>
      <x:c r="F9" s="94" t="n">
        <x:v>0.001</x:v>
      </x:c>
      <x:c r="G9" s="94" t="n">
        <x:v>0.0005</x:v>
      </x:c>
      <x:c r="H9" s="96" t="n">
        <x:f>(B9/1000000*D9)+(C9/1000000*E9)+F9+G9</x:f>
        <x:v>0.00355</x:v>
      </x:c>
      <x:c r="I9" s="97" t="n">
        <x:f>INDEX('EVE Inputs'!$P$6:$P$13,MATCH(A9,'EVE Inputs'!$A$6:$A$13,0))</x:f>
        <x:v>0.75</x:v>
      </x:c>
      <x:c r="J9" s="34" t="n">
        <x:f>CEILING(H9/('Assumptions'!$C$6*(1-'Assumptions'!$C$7)),'Assumptions'!$C$10)</x:f>
        <x:v>2</x:v>
      </x:c>
      <x:c r="K9" s="34" t="n">
        <x:f>ROUND(I9*'Assumptions'!$C$8/'Assumptions'!$C$6,0)</x:f>
        <x:v>4</x:v>
      </x:c>
      <x:c r="L9" s="34" t="n">
        <x:f>FLOOR(I9*'Assumptions'!$C$9/'Assumptions'!$C$6,'Assumptions'!$C$10)</x:f>
        <x:v>7</x:v>
      </x:c>
      <x:c r="M9" s="59" t="n">
        <x:f>MAX(J9,K9)</x:f>
        <x:v>4</x:v>
      </x:c>
      <x:c r="N9" s="19" t="str">
        <x:f>IF(J9&gt;L9,"ECONOMICALLY INFEASIBLE","OK")</x:f>
        <x:v>OK</x:v>
      </x:c>
      <x:c r="O9" s="33" t="n">
        <x:f>M9*'Assumptions'!$C$6</x:f>
        <x:v>0.04</x:v>
      </x:c>
      <x:c r="P9" s="104" t="n">
        <x:f>IF(O9=0,0,(O9-H9)/O9)</x:f>
        <x:v>0.9112500000000001</x:v>
      </x:c>
    </x:row>
    <x:row r="10">
      <x:c r="A10" s="19" t="str">
        <x:v>agent.draft_email</x:v>
      </x:c>
      <x:c r="B10" s="73" t="n">
        <x:v>3500</x:v>
      </x:c>
      <x:c r="C10" s="73" t="n">
        <x:v>650</x:v>
      </x:c>
      <x:c r="D10" s="94" t="n">
        <x:v>0.5</x:v>
      </x:c>
      <x:c r="E10" s="94" t="n">
        <x:v>2</x:v>
      </x:c>
      <x:c r="F10" s="94" t="n">
        <x:v>0.001</x:v>
      </x:c>
      <x:c r="G10" s="94" t="n">
        <x:v>0.0005</x:v>
      </x:c>
      <x:c r="H10" s="96" t="n">
        <x:f>(B10/1000000*D10)+(C10/1000000*E10)+F10+G10</x:f>
        <x:v>0.00455</x:v>
      </x:c>
      <x:c r="I10" s="97" t="n">
        <x:f>INDEX('EVE Inputs'!$P$6:$P$13,MATCH(A10,'EVE Inputs'!$A$6:$A$13,0))</x:f>
        <x:v>1.2</x:v>
      </x:c>
      <x:c r="J10" s="34" t="n">
        <x:f>CEILING(H10/('Assumptions'!$C$6*(1-'Assumptions'!$C$7)),'Assumptions'!$C$10)</x:f>
        <x:v>2</x:v>
      </x:c>
      <x:c r="K10" s="34" t="n">
        <x:f>ROUND(I10*'Assumptions'!$C$8/'Assumptions'!$C$6,0)</x:f>
        <x:v>6</x:v>
      </x:c>
      <x:c r="L10" s="34" t="n">
        <x:f>FLOOR(I10*'Assumptions'!$C$9/'Assumptions'!$C$6,'Assumptions'!$C$10)</x:f>
        <x:v>12</x:v>
      </x:c>
      <x:c r="M10" s="59" t="n">
        <x:f>MAX(J10,K10)</x:f>
        <x:v>6</x:v>
      </x:c>
      <x:c r="N10" s="19" t="str">
        <x:f>IF(J10&gt;L10,"ECONOMICALLY INFEASIBLE","OK")</x:f>
        <x:v>OK</x:v>
      </x:c>
      <x:c r="O10" s="33" t="n">
        <x:f>M10*'Assumptions'!$C$6</x:f>
        <x:v>0.06</x:v>
      </x:c>
      <x:c r="P10" s="104" t="n">
        <x:f>IF(O10=0,0,(O10-H10)/O10)</x:f>
        <x:v>0.9241666666666667</x:v>
      </x:c>
    </x:row>
    <x:row r="11">
      <x:c r="A11" s="19" t="str">
        <x:v>agent.compare</x:v>
      </x:c>
      <x:c r="B11" s="73" t="n">
        <x:v>7000</x:v>
      </x:c>
      <x:c r="C11" s="73" t="n">
        <x:v>900</x:v>
      </x:c>
      <x:c r="D11" s="94" t="n">
        <x:v>0.5</x:v>
      </x:c>
      <x:c r="E11" s="94" t="n">
        <x:v>2</x:v>
      </x:c>
      <x:c r="F11" s="94" t="n">
        <x:v>0.0015</x:v>
      </x:c>
      <x:c r="G11" s="94" t="n">
        <x:v>0.0005</x:v>
      </x:c>
      <x:c r="H11" s="96" t="n">
        <x:f>(B11/1000000*D11)+(C11/1000000*E11)+F11+G11</x:f>
        <x:v>0.007300000000000001</x:v>
      </x:c>
      <x:c r="I11" s="97" t="n">
        <x:f>INDEX('EVE Inputs'!$P$6:$P$13,MATCH(A11,'EVE Inputs'!$A$6:$A$13,0))</x:f>
        <x:v>1.5</x:v>
      </x:c>
      <x:c r="J11" s="34" t="n">
        <x:f>CEILING(H11/('Assumptions'!$C$6*(1-'Assumptions'!$C$7)),'Assumptions'!$C$10)</x:f>
        <x:v>3</x:v>
      </x:c>
      <x:c r="K11" s="34" t="n">
        <x:f>ROUND(I11*'Assumptions'!$C$8/'Assumptions'!$C$6,0)</x:f>
        <x:v>8</x:v>
      </x:c>
      <x:c r="L11" s="34" t="n">
        <x:f>FLOOR(I11*'Assumptions'!$C$9/'Assumptions'!$C$6,'Assumptions'!$C$10)</x:f>
        <x:v>15</x:v>
      </x:c>
      <x:c r="M11" s="59" t="n">
        <x:f>MAX(J11,K11)</x:f>
        <x:v>8</x:v>
      </x:c>
      <x:c r="N11" s="19" t="str">
        <x:f>IF(J11&gt;L11,"ECONOMICALLY INFEASIBLE","OK")</x:f>
        <x:v>OK</x:v>
      </x:c>
      <x:c r="O11" s="33" t="n">
        <x:f>M11*'Assumptions'!$C$6</x:f>
        <x:v>0.08</x:v>
      </x:c>
      <x:c r="P11" s="104" t="n">
        <x:f>IF(O11=0,0,(O11-H11)/O11)</x:f>
        <x:v>0.90875</x:v>
      </x:c>
    </x:row>
    <x:row r="12">
      <x:c r="A12" s="19" t="str">
        <x:v>agent.monitor_alert</x:v>
      </x:c>
      <x:c r="B12" s="73" t="n">
        <x:v>1200</x:v>
      </x:c>
      <x:c r="C12" s="73" t="n">
        <x:v>120</x:v>
      </x:c>
      <x:c r="D12" s="94" t="n">
        <x:v>0.5</x:v>
      </x:c>
      <x:c r="E12" s="94" t="n">
        <x:v>2</x:v>
      </x:c>
      <x:c r="F12" s="94" t="n">
        <x:v>0.0008</x:v>
      </x:c>
      <x:c r="G12" s="94" t="n">
        <x:v>0.0003</x:v>
      </x:c>
      <x:c r="H12" s="96" t="n">
        <x:f>(B12/1000000*D12)+(C12/1000000*E12)+F12+G12</x:f>
        <x:v>0.0019399999999999999</x:v>
      </x:c>
      <x:c r="I12" s="97" t="n">
        <x:f>INDEX('EVE Inputs'!$P$6:$P$13,MATCH(A12,'EVE Inputs'!$A$6:$A$13,0))</x:f>
        <x:v>0.24</x:v>
      </x:c>
      <x:c r="J12" s="34" t="n">
        <x:f>CEILING(H12/('Assumptions'!$C$6*(1-'Assumptions'!$C$7)),'Assumptions'!$C$10)</x:f>
        <x:v>1</x:v>
      </x:c>
      <x:c r="K12" s="34" t="n">
        <x:f>ROUND(I12*'Assumptions'!$C$8/'Assumptions'!$C$6,0)</x:f>
        <x:v>1</x:v>
      </x:c>
      <x:c r="L12" s="34" t="n">
        <x:f>FLOOR(I12*'Assumptions'!$C$9/'Assumptions'!$C$6,'Assumptions'!$C$10)</x:f>
        <x:v>2</x:v>
      </x:c>
      <x:c r="M12" s="59" t="n">
        <x:f>MAX(J12,K12)</x:f>
        <x:v>1</x:v>
      </x:c>
      <x:c r="N12" s="19" t="str">
        <x:f>IF(J12&gt;L12,"ECONOMICALLY INFEASIBLE","OK")</x:f>
        <x:v>OK</x:v>
      </x:c>
      <x:c r="O12" s="33" t="n">
        <x:f>M12*'Assumptions'!$C$6</x:f>
        <x:v>0.01</x:v>
      </x:c>
      <x:c r="P12" s="104" t="n">
        <x:f>IF(O12=0,0,(O12-H12)/O12)</x:f>
        <x:v>0.806</x:v>
      </x:c>
    </x:row>
    <x:row r="13">
      <x:c r="A13" s="21" t="str">
        <x:v>agent.generate_report</x:v>
      </x:c>
      <x:c r="B13" s="81" t="n">
        <x:v>10000</x:v>
      </x:c>
      <x:c r="C13" s="81" t="n">
        <x:v>2000</x:v>
      </x:c>
      <x:c r="D13" s="74" t="n">
        <x:v>0.5</x:v>
      </x:c>
      <x:c r="E13" s="74" t="n">
        <x:v>2</x:v>
      </x:c>
      <x:c r="F13" s="74" t="n">
        <x:v>0.002</x:v>
      </x:c>
      <x:c r="G13" s="74" t="n">
        <x:v>0.001</x:v>
      </x:c>
      <x:c r="H13" s="98" t="n">
        <x:f>(B13/1000000*D13)+(C13/1000000*E13)+F13+G13</x:f>
        <x:v>0.012</x:v>
      </x:c>
      <x:c r="I13" s="99" t="n">
        <x:f>INDEX('EVE Inputs'!$P$6:$P$13,MATCH(A13,'EVE Inputs'!$A$6:$A$13,0))</x:f>
        <x:v>2.7</x:v>
      </x:c>
      <x:c r="J13" s="31" t="n">
        <x:f>CEILING(H13/('Assumptions'!$C$6*(1-'Assumptions'!$C$7)),'Assumptions'!$C$10)</x:f>
        <x:v>4</x:v>
      </x:c>
      <x:c r="K13" s="31" t="n">
        <x:f>ROUND(I13*'Assumptions'!$C$8/'Assumptions'!$C$6,0)</x:f>
        <x:v>14</x:v>
      </x:c>
      <x:c r="L13" s="31" t="n">
        <x:f>FLOOR(I13*'Assumptions'!$C$9/'Assumptions'!$C$6,'Assumptions'!$C$10)</x:f>
        <x:v>27</x:v>
      </x:c>
      <x:c r="M13" s="101" t="n">
        <x:f>MAX(J13,K13)</x:f>
        <x:v>14</x:v>
      </x:c>
      <x:c r="N13" s="21" t="str">
        <x:f>IF(J13&gt;L13,"ECONOMICALLY INFEASIBLE","OK")</x:f>
        <x:v>OK</x:v>
      </x:c>
      <x:c r="O13" s="102" t="n">
        <x:f>M13*'Assumptions'!$C$6</x:f>
        <x:v>0.14</x:v>
      </x:c>
      <x:c r="P13" s="62" t="n">
        <x:f>IF(O13=0,0,(O13-H13)/O13)</x:f>
        <x:v>0.9142857142857143</x:v>
      </x:c>
    </x:row>
    <x:row r="15" ht="34" customHeight="1">
      <x:c r="A15" s="107" t="str">
        <x:v>Worked example — agent.deep_research: $0.0200 unit cost implies 7 minimum credits at a 70% target GM; $4.00 confidence-adjusted value supports 20 credits at 5% capture; recommended weight = 20 credits and action GM = 90%. </x:v>
      </x:c>
      <x:c r="B15" s="107"/>
      <x:c r="C15" s="107"/>
      <x:c r="D15" s="107"/>
      <x:c r="E15" s="107"/>
      <x:c r="F15" s="107"/>
      <x:c r="G15" s="107"/>
      <x:c r="H15" s="107"/>
      <x:c r="I15" s="107"/>
      <x:c r="J15" s="107"/>
      <x:c r="K15" s="107"/>
      <x:c r="L15" s="107"/>
      <x:c r="M15" s="107"/>
      <x:c r="N15" s="107"/>
      <x:c r="O15" s="107"/>
      <x:c r="P15" s="107"/>
    </x:row>
  </x:sheetData>
  <x:mergeCells>
    <x:mergeCell ref="A1:P1"/>
    <x:mergeCell ref="A2:P2"/>
    <x:mergeCell ref="A4:P4"/>
    <x:mergeCell ref="A15:P15"/>
  </x:mergeCells>
  <x:conditionalFormatting sqref="N6:N13">
    <x:cfRule type="containsText" dxfId="8" priority="1" operator="containsText" text="OK"/>
    <x:cfRule type="containsText" dxfId="9" priority="2" operator="containsText" text="PASS"/>
    <x:cfRule type="containsText" dxfId="10" priority="3" operator="containsText" text="CHECK"/>
    <x:cfRule type="containsText" dxfId="11" priority="4" operator="containsText" text="INFEASIBLE"/>
  </x:conditionalFormatting>
  <x:pageMargins left="0.7" right="0.7" top="0.75" bottom="0.75" header="0.3" footer="0.3"/>
  <x:legacyDrawing xmlns:r="http://schemas.openxmlformats.org/officeDocument/2006/relationships" r:id="R7ef2da5b42b04934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3" hidden="0" customWidth="1"/>
    <x:col min="4" max="4" width="13" hidden="0" customWidth="1"/>
    <x:col min="5" max="5" width="13" hidden="0" customWidth="1"/>
    <x:col min="6" max="6" width="18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7" hidden="0" customWidth="1"/>
    <x:col min="13" max="13" width="17" hidden="0" customWidth="1"/>
    <x:col min="14" max="14" width="14" hidden="0" customWidth="1"/>
    <x:col min="15" max="15" width="17" hidden="0" customWidth="1"/>
    <x:col min="16" max="16" width="15" hidden="0" customWidth="1"/>
    <x:col min="17" max="17" width="15" hidden="0" customWidth="1"/>
    <x:col min="18" max="18" width="15" hidden="0" customWidth="1"/>
    <x:col min="19" max="19" width="3" hidden="0" customWidth="1"/>
    <x:col min="20" max="20" width="15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8" hidden="0" customWidth="1"/>
    <x:col min="26" max="26" width="18" hidden="0" customWidth="1"/>
    <x:col min="27" max="27" width="18" hidden="0" customWidth="1"/>
    <x:col min="28" max="28" width="17" hidden="0" customWidth="1"/>
  </x:cols>
  <x:sheetData>
    <x:row r="1" ht="34" customHeight="1">
      <x:c r="A1" s="3" t="str">
        <x:v>Customer Drivers</x:v>
      </x:c>
      <x:c r="B1" s="3" t="str">
        <x:v>Customer Drivers</x:v>
      </x:c>
      <x:c r="C1" s="3" t="str">
        <x:v>Customer Drivers</x:v>
      </x:c>
      <x:c r="D1" s="3" t="str">
        <x:v>Customer Drivers</x:v>
      </x:c>
      <x:c r="E1" s="3" t="str">
        <x:v>Customer Drivers</x:v>
      </x:c>
      <x:c r="F1" s="3" t="str">
        <x:v>Customer Drivers</x:v>
      </x:c>
      <x:c r="G1" s="3" t="str">
        <x:v>Customer Drivers</x:v>
      </x:c>
      <x:c r="H1" s="3" t="str">
        <x:v>Customer Drivers</x:v>
      </x:c>
      <x:c r="I1" s="3" t="str">
        <x:v>Customer Drivers</x:v>
      </x:c>
      <x:c r="J1" s="3" t="str">
        <x:v>Customer Drivers</x:v>
      </x:c>
      <x:c r="K1" s="3" t="str">
        <x:v>Customer Drivers</x:v>
      </x:c>
      <x:c r="L1" s="3" t="str">
        <x:v>Customer Drivers</x:v>
      </x:c>
      <x:c r="M1" s="3" t="str">
        <x:v>Customer Drivers</x:v>
      </x:c>
      <x:c r="N1" s="3" t="str">
        <x:v>Customer Drivers</x:v>
      </x:c>
      <x:c r="O1" s="3" t="str">
        <x:v>Customer Drivers</x:v>
      </x:c>
      <x:c r="P1" s="3" t="str">
        <x:v>Customer Drivers</x:v>
      </x:c>
      <x:c r="Q1" s="3" t="str">
        <x:v>Customer Drivers</x:v>
      </x:c>
      <x:c r="R1" s="3" t="str">
        <x:v>Customer Drivers</x:v>
      </x:c>
      <x:c r="S1" s="3" t="str">
        <x:v>Customer Drivers</x:v>
      </x:c>
      <x:c r="T1" s="3" t="str">
        <x:v>Customer Drivers</x:v>
      </x:c>
      <x:c r="U1" s="3" t="str">
        <x:v>Customer Drivers</x:v>
      </x:c>
      <x:c r="V1" s="3" t="str">
        <x:v>Customer Drivers</x:v>
      </x:c>
      <x:c r="W1" s="3" t="str">
        <x:v>Customer Drivers</x:v>
      </x:c>
      <x:c r="X1" s="3" t="str">
        <x:v>Customer Drivers</x:v>
      </x:c>
      <x:c r="Y1" s="3" t="str">
        <x:v>Customer Drivers</x:v>
      </x:c>
      <x:c r="Z1" s="3" t="str">
        <x:v>Customer Drivers</x:v>
      </x:c>
      <x:c r="AA1" s="3" t="str">
        <x:v>Customer Drivers</x:v>
      </x:c>
      <x:c r="AB1" s="3" t="str">
        <x:v>Customer Drivers</x:v>
      </x:c>
    </x:row>
    <x:row r="2" ht="30" customHeight="1">
      <x:c r="A2" s="7" t="str">
        <x:v>One row per customer segment and metric. Workload mix allocates total successful agent activity across actions; each segment mix should sum to 100%.</x:v>
      </x:c>
      <x:c r="B2" s="7" t="str">
        <x:v>One row per customer segment and metric. Workload mix allocates total successful agent activity across actions; each segment mix should sum to 100%.</x:v>
      </x:c>
      <x:c r="C2" s="7" t="str">
        <x:v>One row per customer segment and metric. Workload mix allocates total successful agent activity across actions; each segment mix should sum to 100%.</x:v>
      </x:c>
      <x:c r="D2" s="7" t="str">
        <x:v>One row per customer segment and metric. Workload mix allocates total successful agent activity across actions; each segment mix should sum to 100%.</x:v>
      </x:c>
      <x:c r="E2" s="7" t="str">
        <x:v>One row per customer segment and metric. Workload mix allocates total successful agent activity across actions; each segment mix should sum to 100%.</x:v>
      </x:c>
      <x:c r="F2" s="7" t="str">
        <x:v>One row per customer segment and metric. Workload mix allocates total successful agent activity across actions; each segment mix should sum to 100%.</x:v>
      </x:c>
      <x:c r="G2" s="7" t="str">
        <x:v>One row per customer segment and metric. Workload mix allocates total successful agent activity across actions; each segment mix should sum to 100%.</x:v>
      </x:c>
      <x:c r="H2" s="7" t="str">
        <x:v>One row per customer segment and metric. Workload mix allocates total successful agent activity across actions; each segment mix should sum to 100%.</x:v>
      </x:c>
      <x:c r="I2" s="7" t="str">
        <x:v>One row per customer segment and metric. Workload mix allocates total successful agent activity across actions; each segment mix should sum to 100%.</x:v>
      </x:c>
      <x:c r="J2" s="7" t="str">
        <x:v>One row per customer segment and metric. Workload mix allocates total successful agent activity across actions; each segment mix should sum to 100%.</x:v>
      </x:c>
      <x:c r="K2" s="7" t="str">
        <x:v>One row per customer segment and metric. Workload mix allocates total successful agent activity across actions; each segment mix should sum to 100%.</x:v>
      </x:c>
      <x:c r="L2" s="7" t="str">
        <x:v>One row per customer segment and metric. Workload mix allocates total successful agent activity across actions; each segment mix should sum to 100%.</x:v>
      </x:c>
      <x:c r="M2" s="7" t="str">
        <x:v>One row per customer segment and metric. Workload mix allocates total successful agent activity across actions; each segment mix should sum to 100%.</x:v>
      </x:c>
      <x:c r="N2" s="7" t="str">
        <x:v>One row per customer segment and metric. Workload mix allocates total successful agent activity across actions; each segment mix should sum to 100%.</x:v>
      </x:c>
      <x:c r="O2" s="7" t="str">
        <x:v>One row per customer segment and metric. Workload mix allocates total successful agent activity across actions; each segment mix should sum to 100%.</x:v>
      </x:c>
      <x:c r="P2" s="7" t="str">
        <x:v>One row per customer segment and metric. Workload mix allocates total successful agent activity across actions; each segment mix should sum to 100%.</x:v>
      </x:c>
      <x:c r="Q2" s="7" t="str">
        <x:v>One row per customer segment and metric. Workload mix allocates total successful agent activity across actions; each segment mix should sum to 100%.</x:v>
      </x:c>
      <x:c r="R2" s="7" t="str">
        <x:v>One row per customer segment and metric. Workload mix allocates total successful agent activity across actions; each segment mix should sum to 100%.</x:v>
      </x:c>
      <x:c r="S2" s="7" t="str">
        <x:v>One row per customer segment and metric. Workload mix allocates total successful agent activity across actions; each segment mix should sum to 100%.</x:v>
      </x:c>
      <x:c r="T2" s="7" t="str">
        <x:v>One row per customer segment and metric. Workload mix allocates total successful agent activity across actions; each segment mix should sum to 100%.</x:v>
      </x:c>
      <x:c r="U2" s="7" t="str">
        <x:v>One row per customer segment and metric. Workload mix allocates total successful agent activity across actions; each segment mix should sum to 100%.</x:v>
      </x:c>
      <x:c r="V2" s="7" t="str">
        <x:v>One row per customer segment and metric. Workload mix allocates total successful agent activity across actions; each segment mix should sum to 100%.</x:v>
      </x:c>
      <x:c r="W2" s="7" t="str">
        <x:v>One row per customer segment and metric. Workload mix allocates total successful agent activity across actions; each segment mix should sum to 100%.</x:v>
      </x:c>
      <x:c r="X2" s="7" t="str">
        <x:v>One row per customer segment and metric. Workload mix allocates total successful agent activity across actions; each segment mix should sum to 100%.</x:v>
      </x:c>
      <x:c r="Y2" s="7" t="str">
        <x:v>One row per customer segment and metric. Workload mix allocates total successful agent activity across actions; each segment mix should sum to 100%.</x:v>
      </x:c>
      <x:c r="Z2" s="7" t="str">
        <x:v>One row per customer segment and metric. Workload mix allocates total successful agent activity across actions; each segment mix should sum to 100%.</x:v>
      </x:c>
      <x:c r="AA2" s="7" t="str">
        <x:v>One row per customer segment and metric. Workload mix allocates total successful agent activity across actions; each segment mix should sum to 100%.</x:v>
      </x:c>
      <x:c r="AB2" s="7" t="str">
        <x:v>One row per customer segment and metric. Workload mix allocates total successful agent activity across actions; each segment mix should sum to 100%.</x:v>
      </x:c>
    </x:row>
    <x:row r="4" ht="24" customHeight="1">
      <x:c r="A4" s="10" t="str">
        <x:v>Segment × Metric Demand Drivers</x:v>
      </x:c>
      <x:c r="B4" s="10" t="str">
        <x:v>Segment × Metric Demand Drivers</x:v>
      </x:c>
      <x:c r="C4" s="10" t="str">
        <x:v>Segment × Metric Demand Drivers</x:v>
      </x:c>
      <x:c r="D4" s="10" t="str">
        <x:v>Segment × Metric Demand Drivers</x:v>
      </x:c>
      <x:c r="E4" s="10" t="str">
        <x:v>Segment × Metric Demand Drivers</x:v>
      </x:c>
      <x:c r="F4" s="10" t="str">
        <x:v>Segment × Metric Demand Drivers</x:v>
      </x:c>
      <x:c r="G4" s="10" t="str">
        <x:v>Segment × Metric Demand Drivers</x:v>
      </x:c>
      <x:c r="H4" s="10" t="str">
        <x:v>Segment × Metric Demand Drivers</x:v>
      </x:c>
      <x:c r="I4" s="10" t="str">
        <x:v>Segment × Metric Demand Drivers</x:v>
      </x:c>
      <x:c r="J4" s="10" t="str">
        <x:v>Segment × Metric Demand Drivers</x:v>
      </x:c>
      <x:c r="K4" s="10" t="str">
        <x:v>Segment × Metric Demand Drivers</x:v>
      </x:c>
      <x:c r="L4" s="10" t="str">
        <x:v>Segment × Metric Demand Drivers</x:v>
      </x:c>
      <x:c r="M4" s="10" t="str">
        <x:v>Segment × Metric Demand Drivers</x:v>
      </x:c>
      <x:c r="N4" s="10" t="str">
        <x:v>Segment × Metric Demand Drivers</x:v>
      </x:c>
      <x:c r="O4" s="10" t="str">
        <x:v>Segment × Metric Demand Drivers</x:v>
      </x:c>
      <x:c r="P4" s="10" t="str">
        <x:v>Segment × Metric Demand Drivers</x:v>
      </x:c>
      <x:c r="Q4" s="10" t="str">
        <x:v>Segment × Metric Demand Drivers</x:v>
      </x:c>
      <x:c r="R4" s="10" t="str">
        <x:v>Segment × Metric Demand Drivers</x:v>
      </x:c>
      <x:c r="T4" s="10" t="str">
        <x:v>Segment Summary</x:v>
      </x:c>
      <x:c r="U4" s="10" t="str">
        <x:v>Segment Summary</x:v>
      </x:c>
      <x:c r="V4" s="10" t="str">
        <x:v>Segment Summary</x:v>
      </x:c>
      <x:c r="W4" s="10" t="str">
        <x:v>Segment Summary</x:v>
      </x:c>
      <x:c r="X4" s="10" t="str">
        <x:v>Segment Summary</x:v>
      </x:c>
      <x:c r="Y4" s="10" t="str">
        <x:v>Segment Summary</x:v>
      </x:c>
      <x:c r="Z4" s="10" t="str">
        <x:v>Segment Summary</x:v>
      </x:c>
      <x:c r="AA4" s="10" t="str">
        <x:v>Segment Summary</x:v>
      </x:c>
      <x:c r="AB4" s="10" t="str">
        <x:v>Segment Summary</x:v>
      </x:c>
    </x:row>
    <x:row r="5" ht="34" customHeight="1">
      <x:c r="A5" s="54" t="str">
        <x:v>Segment</x:v>
      </x:c>
      <x:c r="B5" s="55" t="str">
        <x:v>Metric</x:v>
      </x:c>
      <x:c r="C5" s="55" t="str">
        <x:v>Accounts</x:v>
      </x:c>
      <x:c r="D5" s="55" t="str">
        <x:v>Seats / Account</x:v>
      </x:c>
      <x:c r="E5" s="55" t="str">
        <x:v>Active Seat %</x:v>
      </x:c>
      <x:c r="F5" s="55" t="str">
        <x:v>Actions / Active Seat / Day</x:v>
      </x:c>
      <x:c r="G5" s="55" t="str">
        <x:v>Active Days</x:v>
      </x:c>
      <x:c r="H5" s="55" t="str">
        <x:v>Adoption %</x:v>
      </x:c>
      <x:c r="I5" s="55" t="str">
        <x:v>Completion %</x:v>
      </x:c>
      <x:c r="J5" s="55" t="str">
        <x:v>Workload Mix %</x:v>
      </x:c>
      <x:c r="K5" s="55" t="str">
        <x:v>Monthly Growth %</x:v>
      </x:c>
      <x:c r="L5" s="55" t="str">
        <x:v>Base Monthly Volume</x:v>
      </x:c>
      <x:c r="M5" s="55" t="str">
        <x:v>Month 12 Volume</x:v>
      </x:c>
      <x:c r="N5" s="55" t="str">
        <x:v>Credits / Action</x:v>
      </x:c>
      <x:c r="O5" s="55" t="str">
        <x:v>Base Monthly Credits</x:v>
      </x:c>
      <x:c r="P5" s="55" t="str">
        <x:v>Unit Cost</x:v>
      </x:c>
      <x:c r="Q5" s="55" t="str">
        <x:v>Base Provider Cost</x:v>
      </x:c>
      <x:c r="R5" s="56" t="str">
        <x:v>Base Active Seats</x:v>
      </x:c>
      <x:c r="T5" s="54" t="str">
        <x:v>Segment</x:v>
      </x:c>
      <x:c r="U5" s="55" t="str">
        <x:v>Accounts</x:v>
      </x:c>
      <x:c r="V5" s="55" t="str">
        <x:v>Total Seats</x:v>
      </x:c>
      <x:c r="W5" s="55" t="str">
        <x:v>Active Seats</x:v>
      </x:c>
      <x:c r="X5" s="55" t="str">
        <x:v>Workload Mix Total</x:v>
      </x:c>
      <x:c r="Y5" s="55" t="str">
        <x:v>Base Monthly Actions</x:v>
      </x:c>
      <x:c r="Z5" s="55" t="str">
        <x:v>Base Monthly Credits</x:v>
      </x:c>
      <x:c r="AA5" s="55" t="str">
        <x:v>Base Provider Cost</x:v>
      </x:c>
      <x:c r="AB5" s="56" t="str">
        <x:v>Month 12 Actions</x:v>
      </x:c>
    </x:row>
    <x:row r="6">
      <x:c r="A6" s="18" t="str">
        <x:v>Startup</x:v>
      </x:c>
      <x:c r="B6" s="18" t="str">
        <x:v>agent.summarize</x:v>
      </x:c>
      <x:c r="C6" s="80" t="n">
        <x:v>40</x:v>
      </x:c>
      <x:c r="D6" s="80" t="n">
        <x:v>12</x:v>
      </x:c>
      <x:c r="E6" s="75" t="n">
        <x:v>0.65</x:v>
      </x:c>
      <x:c r="F6" s="108" t="n">
        <x:v>2</x:v>
      </x:c>
      <x:c r="G6" s="80" t="n">
        <x:v>20</x:v>
      </x:c>
      <x:c r="H6" s="75" t="n">
        <x:v>0.7</x:v>
      </x:c>
      <x:c r="I6" s="75" t="n">
        <x:v>0.95</x:v>
      </x:c>
      <x:c r="J6" s="75" t="n">
        <x:v>0.25</x:v>
      </x:c>
      <x:c r="K6" s="75" t="n">
        <x:v>0.03</x:v>
      </x:c>
      <x:c r="L6" s="100" t="n">
        <x:f>C6*D6*E6*F6*G6*H6*I6*J6</x:f>
        <x:v>2074.7999999999997</x:v>
      </x:c>
      <x:c r="M6" s="100" t="n">
        <x:f>L6*(1+K6)^11</x:f>
        <x:v>2872.00843497908</x:v>
      </x:c>
      <x:c r="N6" s="28" t="n">
        <x:f>INDEX('Metric Weights'!$M$6:$M$13,MATCH(B6,'Metric Weights'!$A$6:$A$13,0))</x:f>
        <x:v>4</x:v>
      </x:c>
      <x:c r="O6" s="100" t="n">
        <x:f>L6*N6</x:f>
        <x:v>8299.199999999999</x:v>
      </x:c>
      <x:c r="P6" s="95" t="n">
        <x:f>INDEX('Metric Weights'!$H$6:$H$13,MATCH(B6,'Metric Weights'!$A$6:$A$13,0))</x:f>
        <x:v>0.004</x:v>
      </x:c>
      <x:c r="Q6" s="58" t="n">
        <x:f>L6*P6</x:f>
        <x:v>8.299199999999999</x:v>
      </x:c>
      <x:c r="R6" s="111" t="n">
        <x:f>C6*D6*E6</x:f>
        <x:v>312</x:v>
      </x:c>
      <x:c r="T6" s="18" t="str">
        <x:v>Startup</x:v>
      </x:c>
      <x:c r="U6" s="100" t="n">
        <x:f>SUMIF($A$6:$A$29,T6,$C$6:$C$29)/COUNTIF($A$6:$A$29,T6)</x:f>
        <x:v>40</x:v>
      </x:c>
      <x:c r="V6" s="100" t="n">
        <x:f>U6*INDEX($D$6:$D$29,MATCH(T6,$A$6:$A$29,0))</x:f>
        <x:v>480</x:v>
      </x:c>
      <x:c r="W6" s="100" t="n">
        <x:f>V6*INDEX($E$6:$E$29,MATCH(T6,$A$6:$A$29,0))</x:f>
        <x:v>312</x:v>
      </x:c>
      <x:c r="X6" s="103" t="n">
        <x:f>SUMIF($A$6:$A$29,T6,$J$6:$J$29)</x:f>
        <x:v>0.9999999999999999</x:v>
      </x:c>
      <x:c r="Y6" s="100" t="n">
        <x:f>SUMIF($A$6:$A$29,T6,$L$6:$L$29)</x:f>
        <x:v>8299.199999999999</x:v>
      </x:c>
      <x:c r="Z6" s="100" t="n">
        <x:f>SUMIF($A$6:$A$29,T6,$O$6:$O$29)</x:f>
        <x:v>44732.688</x:v>
      </x:c>
      <x:c r="AA6" s="82" t="n">
        <x:f>SUMIF($A$6:$A$29,T6,$Q$6:$Q$29)</x:f>
        <x:v>42.120929759999996</x:v>
      </x:c>
      <x:c r="AB6" s="100" t="n">
        <x:f>SUMIF($A$6:$A$29,T6,$M$6:$M$29)</x:f>
        <x:v>11488.03373991632</x:v>
      </x:c>
    </x:row>
    <x:row r="7">
      <x:c r="A7" s="19" t="str">
        <x:v>Startup</x:v>
      </x:c>
      <x:c r="B7" s="19" t="str">
        <x:v>agent.deep_research</x:v>
      </x:c>
      <x:c r="C7" s="73" t="n">
        <x:v>40</x:v>
      </x:c>
      <x:c r="D7" s="73" t="n">
        <x:v>12</x:v>
      </x:c>
      <x:c r="E7" s="72" t="n">
        <x:v>0.65</x:v>
      </x:c>
      <x:c r="F7" s="109" t="n">
        <x:v>2</x:v>
      </x:c>
      <x:c r="G7" s="73" t="n">
        <x:v>20</x:v>
      </x:c>
      <x:c r="H7" s="72" t="n">
        <x:v>0.7</x:v>
      </x:c>
      <x:c r="I7" s="72" t="n">
        <x:v>0.95</x:v>
      </x:c>
      <x:c r="J7" s="72" t="n">
        <x:v>0.05</x:v>
      </x:c>
      <x:c r="K7" s="72" t="n">
        <x:v>0.03</x:v>
      </x:c>
      <x:c r="L7" s="59" t="n">
        <x:f>C7*D7*E7*F7*G7*H7*I7*J7</x:f>
        <x:v>414.96</x:v>
      </x:c>
      <x:c r="M7" s="59" t="n">
        <x:f>L7*(1+K7)^11</x:f>
        <x:v>574.401686995816</x:v>
      </x:c>
      <x:c r="N7" s="34" t="n">
        <x:f>INDEX('Metric Weights'!$M$6:$M$13,MATCH(B7,'Metric Weights'!$A$6:$A$13,0))</x:f>
        <x:v>20</x:v>
      </x:c>
      <x:c r="O7" s="59" t="n">
        <x:f>L7*N7</x:f>
        <x:v>8299.199999999999</x:v>
      </x:c>
      <x:c r="P7" s="97" t="n">
        <x:f>INDEX('Metric Weights'!$H$6:$H$13,MATCH(B7,'Metric Weights'!$A$6:$A$13,0))</x:f>
        <x:v>0.020000000000000004</x:v>
      </x:c>
      <x:c r="Q7" s="96" t="n">
        <x:f>L7*P7</x:f>
        <x:v>8.2992</x:v>
      </x:c>
      <x:c r="R7" s="112" t="n">
        <x:f>C7*D7*E7</x:f>
        <x:v>312</x:v>
      </x:c>
      <x:c r="T7" s="19" t="str">
        <x:v>Mid-Market</x:v>
      </x:c>
      <x:c r="U7" s="59" t="n">
        <x:f>SUMIF($A$6:$A$29,T7,$C$6:$C$29)/COUNTIF($A$6:$A$29,T7)</x:f>
        <x:v>18</x:v>
      </x:c>
      <x:c r="V7" s="59" t="n">
        <x:f>U7*INDEX($D$6:$D$29,MATCH(T7,$A$6:$A$29,0))</x:f>
        <x:v>1440</x:v>
      </x:c>
      <x:c r="W7" s="59" t="n">
        <x:f>V7*INDEX($E$6:$E$29,MATCH(T7,$A$6:$A$29,0))</x:f>
        <x:v>1036.8</x:v>
      </x:c>
      <x:c r="X7" s="104" t="n">
        <x:f>SUMIF($A$6:$A$29,T7,$J$6:$J$29)</x:f>
        <x:v>1</x:v>
      </x:c>
      <x:c r="Y7" s="59" t="n">
        <x:f>SUMIF($A$6:$A$29,T7,$L$6:$L$29)</x:f>
        <x:v>42389.02886399999</x:v>
      </x:c>
      <x:c r="Z7" s="59" t="n">
        <x:f>SUMIF($A$6:$A$29,T7,$O$6:$O$29)</x:f>
        <x:v>261964.19837952004</x:v>
      </x:c>
      <x:c r="AA7" s="83" t="n">
        <x:f>SUMIF($A$6:$A$29,T7,$Q$6:$Q$29)</x:f>
        <x:v>246.4837250383872</x:v>
      </x:c>
      <x:c r="AB7" s="59" t="n">
        <x:f>SUMIF($A$6:$A$29,T7,$M$6:$M$29)</x:f>
        <x:v>55618.079209607145</x:v>
      </x:c>
    </x:row>
    <x:row r="8">
      <x:c r="A8" s="19" t="str">
        <x:v>Startup</x:v>
      </x:c>
      <x:c r="B8" s="19" t="str">
        <x:v>agent.classify</x:v>
      </x:c>
      <x:c r="C8" s="73" t="n">
        <x:v>40</x:v>
      </x:c>
      <x:c r="D8" s="73" t="n">
        <x:v>12</x:v>
      </x:c>
      <x:c r="E8" s="72" t="n">
        <x:v>0.65</x:v>
      </x:c>
      <x:c r="F8" s="109" t="n">
        <x:v>2</x:v>
      </x:c>
      <x:c r="G8" s="73" t="n">
        <x:v>20</x:v>
      </x:c>
      <x:c r="H8" s="72" t="n">
        <x:v>0.7</x:v>
      </x:c>
      <x:c r="I8" s="72" t="n">
        <x:v>0.95</x:v>
      </x:c>
      <x:c r="J8" s="72" t="n">
        <x:v>0.15</x:v>
      </x:c>
      <x:c r="K8" s="72" t="n">
        <x:v>0.03</x:v>
      </x:c>
      <x:c r="L8" s="59" t="n">
        <x:f>C8*D8*E8*F8*G8*H8*I8*J8</x:f>
        <x:v>1244.8799999999999</x:v>
      </x:c>
      <x:c r="M8" s="59" t="n">
        <x:f>L8*(1+K8)^11</x:f>
        <x:v>1723.2050609874482</x:v>
      </x:c>
      <x:c r="N8" s="34" t="n">
        <x:f>INDEX('Metric Weights'!$M$6:$M$13,MATCH(B8,'Metric Weights'!$A$6:$A$13,0))</x:f>
        <x:v>1</x:v>
      </x:c>
      <x:c r="O8" s="59" t="n">
        <x:f>L8*N8</x:f>
        <x:v>1244.8799999999999</x:v>
      </x:c>
      <x:c r="P8" s="97" t="n">
        <x:f>INDEX('Metric Weights'!$H$6:$H$13,MATCH(B8,'Metric Weights'!$A$6:$A$13,0))</x:f>
        <x:v>0.0011</x:v>
      </x:c>
      <x:c r="Q8" s="96" t="n">
        <x:f>L8*P8</x:f>
        <x:v>1.369368</x:v>
      </x:c>
      <x:c r="R8" s="112" t="n">
        <x:f>C8*D8*E8</x:f>
        <x:v>312</x:v>
      </x:c>
      <x:c r="T8" s="19" t="str">
        <x:v>Enterprise</x:v>
      </x:c>
      <x:c r="U8" s="59" t="n">
        <x:f>SUMIF($A$6:$A$29,T8,$C$6:$C$29)/COUNTIF($A$6:$A$29,T8)</x:f>
        <x:v>5</x:v>
      </x:c>
      <x:c r="V8" s="59" t="n">
        <x:f>U8*INDEX($D$6:$D$29,MATCH(T8,$A$6:$A$29,0))</x:f>
        <x:v>2500</x:v>
      </x:c>
      <x:c r="W8" s="59" t="n">
        <x:f>V8*INDEX($E$6:$E$29,MATCH(T8,$A$6:$A$29,0))</x:f>
        <x:v>1950</x:v>
      </x:c>
      <x:c r="X8" s="104" t="n">
        <x:f>SUMIF($A$6:$A$29,T8,$J$6:$J$29)</x:f>
        <x:v>1</x:v>
      </x:c>
      <x:c r="Y8" s="59" t="n">
        <x:f>SUMIF($A$6:$A$29,T8,$L$6:$L$29)</x:f>
        <x:v>105780.24599999997</x:v>
      </x:c>
      <x:c r="Z8" s="59" t="n">
        <x:f>SUMIF($A$6:$A$29,T8,$O$6:$O$29)</x:f>
        <x:v>760559.9687399999</x:v>
      </x:c>
      <x:c r="AA8" s="83" t="n">
        <x:f>SUMIF($A$6:$A$29,T8,$Q$6:$Q$29)</x:f>
        <x:v>720.2048048909999</x:v>
      </x:c>
      <x:c r="AB8" s="59" t="n">
        <x:f>SUMIF($A$6:$A$29,T8,$M$6:$M$29)</x:f>
        <x:v>131524.44021206617</x:v>
      </x:c>
    </x:row>
    <x:row r="9">
      <x:c r="A9" s="19" t="str">
        <x:v>Startup</x:v>
      </x:c>
      <x:c r="B9" s="19" t="str">
        <x:v>agent.extract</x:v>
      </x:c>
      <x:c r="C9" s="73" t="n">
        <x:v>40</x:v>
      </x:c>
      <x:c r="D9" s="73" t="n">
        <x:v>12</x:v>
      </x:c>
      <x:c r="E9" s="72" t="n">
        <x:v>0.65</x:v>
      </x:c>
      <x:c r="F9" s="109" t="n">
        <x:v>2</x:v>
      </x:c>
      <x:c r="G9" s="73" t="n">
        <x:v>20</x:v>
      </x:c>
      <x:c r="H9" s="72" t="n">
        <x:v>0.7</x:v>
      </x:c>
      <x:c r="I9" s="72" t="n">
        <x:v>0.95</x:v>
      </x:c>
      <x:c r="J9" s="72" t="n">
        <x:v>0.15</x:v>
      </x:c>
      <x:c r="K9" s="72" t="n">
        <x:v>0.03</x:v>
      </x:c>
      <x:c r="L9" s="59" t="n">
        <x:f>C9*D9*E9*F9*G9*H9*I9*J9</x:f>
        <x:v>1244.8799999999999</x:v>
      </x:c>
      <x:c r="M9" s="59" t="n">
        <x:f>L9*(1+K9)^11</x:f>
        <x:v>1723.2050609874482</x:v>
      </x:c>
      <x:c r="N9" s="34" t="n">
        <x:f>INDEX('Metric Weights'!$M$6:$M$13,MATCH(B9,'Metric Weights'!$A$6:$A$13,0))</x:f>
        <x:v>4</x:v>
      </x:c>
      <x:c r="O9" s="59" t="n">
        <x:f>L9*N9</x:f>
        <x:v>4979.5199999999995</x:v>
      </x:c>
      <x:c r="P9" s="97" t="n">
        <x:f>INDEX('Metric Weights'!$H$6:$H$13,MATCH(B9,'Metric Weights'!$A$6:$A$13,0))</x:f>
        <x:v>0.00355</x:v>
      </x:c>
      <x:c r="Q9" s="96" t="n">
        <x:f>L9*P9</x:f>
        <x:v>4.419324</x:v>
      </x:c>
      <x:c r="R9" s="112" t="n">
        <x:f>C9*D9*E9</x:f>
        <x:v>312</x:v>
      </x:c>
      <x:c r="T9" s="116" t="str">
        <x:v>TOTAL</x:v>
      </x:c>
      <x:c r="U9" s="117" t="n">
        <x:f>SUM(U6:U8)</x:f>
        <x:v>63</x:v>
      </x:c>
      <x:c r="V9" s="117" t="n">
        <x:f>SUM(V6:V8)</x:f>
        <x:v>4420</x:v>
      </x:c>
      <x:c r="W9" s="117" t="n">
        <x:f>SUM(W6:W8)</x:f>
        <x:v>3298.8</x:v>
      </x:c>
      <x:c r="X9" s="118" t="n">
        <x:f>MAX(ABS(X6-1),ABS(X7-1),ABS(X8-1))</x:f>
        <x:v>1.1102230246251565e-16</x:v>
      </x:c>
      <x:c r="Y9" s="117" t="n">
        <x:f>SUM(Y6:Y8)</x:f>
        <x:v>156468.47486399996</x:v>
      </x:c>
      <x:c r="Z9" s="117" t="n">
        <x:f>SUM(Z6:Z8)</x:f>
        <x:v>1067256.8551195199</x:v>
      </x:c>
      <x:c r="AA9" s="119" t="n">
        <x:f>SUM(AA6:AA8)</x:f>
        <x:v>1008.809459689387</x:v>
      </x:c>
      <x:c r="AB9" s="117" t="n">
        <x:f>SUM(AB6:AB8)</x:f>
        <x:v>198630.55316158963</x:v>
      </x:c>
    </x:row>
    <x:row r="10">
      <x:c r="A10" s="19" t="str">
        <x:v>Startup</x:v>
      </x:c>
      <x:c r="B10" s="19" t="str">
        <x:v>agent.draft_email</x:v>
      </x:c>
      <x:c r="C10" s="73" t="n">
        <x:v>40</x:v>
      </x:c>
      <x:c r="D10" s="73" t="n">
        <x:v>12</x:v>
      </x:c>
      <x:c r="E10" s="72" t="n">
        <x:v>0.65</x:v>
      </x:c>
      <x:c r="F10" s="109" t="n">
        <x:v>2</x:v>
      </x:c>
      <x:c r="G10" s="73" t="n">
        <x:v>20</x:v>
      </x:c>
      <x:c r="H10" s="72" t="n">
        <x:v>0.7</x:v>
      </x:c>
      <x:c r="I10" s="72" t="n">
        <x:v>0.95</x:v>
      </x:c>
      <x:c r="J10" s="72" t="n">
        <x:v>0.1</x:v>
      </x:c>
      <x:c r="K10" s="72" t="n">
        <x:v>0.03</x:v>
      </x:c>
      <x:c r="L10" s="59" t="n">
        <x:f>C10*D10*E10*F10*G10*H10*I10*J10</x:f>
        <x:v>829.92</x:v>
      </x:c>
      <x:c r="M10" s="59" t="n">
        <x:f>L10*(1+K10)^11</x:f>
        <x:v>1148.803373991632</x:v>
      </x:c>
      <x:c r="N10" s="34" t="n">
        <x:f>INDEX('Metric Weights'!$M$6:$M$13,MATCH(B10,'Metric Weights'!$A$6:$A$13,0))</x:f>
        <x:v>6</x:v>
      </x:c>
      <x:c r="O10" s="59" t="n">
        <x:f>L10*N10</x:f>
        <x:v>4979.5199999999995</x:v>
      </x:c>
      <x:c r="P10" s="97" t="n">
        <x:f>INDEX('Metric Weights'!$H$6:$H$13,MATCH(B10,'Metric Weights'!$A$6:$A$13,0))</x:f>
        <x:v>0.00455</x:v>
      </x:c>
      <x:c r="Q10" s="96" t="n">
        <x:f>L10*P10</x:f>
        <x:v>3.776136</x:v>
      </x:c>
      <x:c r="R10" s="112" t="n">
        <x:f>C10*D10*E10</x:f>
        <x:v>312</x:v>
      </x:c>
    </x:row>
    <x:row r="11" ht="27" customHeight="1">
      <x:c r="A11" s="19" t="str">
        <x:v>Startup</x:v>
      </x:c>
      <x:c r="B11" s="19" t="str">
        <x:v>agent.compare</x:v>
      </x:c>
      <x:c r="C11" s="73" t="n">
        <x:v>40</x:v>
      </x:c>
      <x:c r="D11" s="73" t="n">
        <x:v>12</x:v>
      </x:c>
      <x:c r="E11" s="72" t="n">
        <x:v>0.65</x:v>
      </x:c>
      <x:c r="F11" s="109" t="n">
        <x:v>2</x:v>
      </x:c>
      <x:c r="G11" s="73" t="n">
        <x:v>20</x:v>
      </x:c>
      <x:c r="H11" s="72" t="n">
        <x:v>0.7</x:v>
      </x:c>
      <x:c r="I11" s="72" t="n">
        <x:v>0.95</x:v>
      </x:c>
      <x:c r="J11" s="72" t="n">
        <x:v>0.1</x:v>
      </x:c>
      <x:c r="K11" s="72" t="n">
        <x:v>0.03</x:v>
      </x:c>
      <x:c r="L11" s="59" t="n">
        <x:f>C11*D11*E11*F11*G11*H11*I11*J11</x:f>
        <x:v>829.92</x:v>
      </x:c>
      <x:c r="M11" s="59" t="n">
        <x:f>L11*(1+K11)^11</x:f>
        <x:v>1148.803373991632</x:v>
      </x:c>
      <x:c r="N11" s="34" t="n">
        <x:f>INDEX('Metric Weights'!$M$6:$M$13,MATCH(B11,'Metric Weights'!$A$6:$A$13,0))</x:f>
        <x:v>8</x:v>
      </x:c>
      <x:c r="O11" s="59" t="n">
        <x:f>L11*N11</x:f>
        <x:v>6639.36</x:v>
      </x:c>
      <x:c r="P11" s="97" t="n">
        <x:f>INDEX('Metric Weights'!$H$6:$H$13,MATCH(B11,'Metric Weights'!$A$6:$A$13,0))</x:f>
        <x:v>0.007300000000000001</x:v>
      </x:c>
      <x:c r="Q11" s="96" t="n">
        <x:f>L11*P11</x:f>
        <x:v>6.058416</x:v>
      </x:c>
      <x:c r="R11" s="112" t="n">
        <x:f>C11*D11*E11</x:f>
        <x:v>312</x:v>
      </x:c>
      <x:c r="T11" s="92" t="str">
        <x:v>Summary row 9: X9 reports the maximum segment workload-mix deviation from 100%; all other numeric cells are totals.</x:v>
      </x:c>
      <x:c r="U11" s="92"/>
      <x:c r="V11" s="92"/>
      <x:c r="W11" s="92"/>
      <x:c r="X11" s="92"/>
      <x:c r="Y11" s="92"/>
      <x:c r="Z11" s="92"/>
      <x:c r="AA11" s="92"/>
      <x:c r="AB11" s="92"/>
    </x:row>
    <x:row r="12" ht="27" customHeight="1">
      <x:c r="A12" s="19" t="str">
        <x:v>Startup</x:v>
      </x:c>
      <x:c r="B12" s="19" t="str">
        <x:v>agent.monitor_alert</x:v>
      </x:c>
      <x:c r="C12" s="73" t="n">
        <x:v>40</x:v>
      </x:c>
      <x:c r="D12" s="73" t="n">
        <x:v>12</x:v>
      </x:c>
      <x:c r="E12" s="72" t="n">
        <x:v>0.65</x:v>
      </x:c>
      <x:c r="F12" s="109" t="n">
        <x:v>2</x:v>
      </x:c>
      <x:c r="G12" s="73" t="n">
        <x:v>20</x:v>
      </x:c>
      <x:c r="H12" s="72" t="n">
        <x:v>0.7</x:v>
      </x:c>
      <x:c r="I12" s="72" t="n">
        <x:v>0.95</x:v>
      </x:c>
      <x:c r="J12" s="72" t="n">
        <x:v>0.12</x:v>
      </x:c>
      <x:c r="K12" s="72" t="n">
        <x:v>0.03</x:v>
      </x:c>
      <x:c r="L12" s="59" t="n">
        <x:f>C12*D12*E12*F12*G12*H12*I12*J12</x:f>
        <x:v>995.9039999999999</x:v>
      </x:c>
      <x:c r="M12" s="59" t="n">
        <x:f>L12*(1+K12)^11</x:f>
        <x:v>1378.5640487899584</x:v>
      </x:c>
      <x:c r="N12" s="34" t="n">
        <x:f>INDEX('Metric Weights'!$M$6:$M$13,MATCH(B12,'Metric Weights'!$A$6:$A$13,0))</x:f>
        <x:v>1</x:v>
      </x:c>
      <x:c r="O12" s="59" t="n">
        <x:f>L12*N12</x:f>
        <x:v>995.9039999999999</x:v>
      </x:c>
      <x:c r="P12" s="97" t="n">
        <x:f>INDEX('Metric Weights'!$H$6:$H$13,MATCH(B12,'Metric Weights'!$A$6:$A$13,0))</x:f>
        <x:v>0.0019399999999999999</x:v>
      </x:c>
      <x:c r="Q12" s="96" t="n">
        <x:f>L12*P12</x:f>
        <x:v>1.9320537599999996</x:v>
      </x:c>
      <x:c r="R12" s="112" t="n">
        <x:f>C12*D12*E12</x:f>
        <x:v>312</x:v>
      </x:c>
      <x:c r="T12" s="92" t="str">
        <x:v>Base Monthly Volume includes workload mix. Month 12 Volume compounds the visible monthly growth input for 11 months.</x:v>
      </x:c>
      <x:c r="U12" s="92"/>
      <x:c r="V12" s="92"/>
      <x:c r="W12" s="92"/>
      <x:c r="X12" s="92"/>
      <x:c r="Y12" s="92"/>
      <x:c r="Z12" s="92"/>
      <x:c r="AA12" s="92"/>
      <x:c r="AB12" s="92"/>
    </x:row>
    <x:row r="13">
      <x:c r="A13" s="19" t="str">
        <x:v>Startup</x:v>
      </x:c>
      <x:c r="B13" s="19" t="str">
        <x:v>agent.generate_report</x:v>
      </x:c>
      <x:c r="C13" s="73" t="n">
        <x:v>40</x:v>
      </x:c>
      <x:c r="D13" s="73" t="n">
        <x:v>12</x:v>
      </x:c>
      <x:c r="E13" s="72" t="n">
        <x:v>0.65</x:v>
      </x:c>
      <x:c r="F13" s="109" t="n">
        <x:v>2</x:v>
      </x:c>
      <x:c r="G13" s="73" t="n">
        <x:v>20</x:v>
      </x:c>
      <x:c r="H13" s="72" t="n">
        <x:v>0.7</x:v>
      </x:c>
      <x:c r="I13" s="72" t="n">
        <x:v>0.95</x:v>
      </x:c>
      <x:c r="J13" s="72" t="n">
        <x:v>0.08</x:v>
      </x:c>
      <x:c r="K13" s="72" t="n">
        <x:v>0.03</x:v>
      </x:c>
      <x:c r="L13" s="59" t="n">
        <x:f>C13*D13*E13*F13*G13*H13*I13*J13</x:f>
        <x:v>663.9359999999999</x:v>
      </x:c>
      <x:c r="M13" s="59" t="n">
        <x:f>L13*(1+K13)^11</x:f>
        <x:v>919.0426991933056</x:v>
      </x:c>
      <x:c r="N13" s="34" t="n">
        <x:f>INDEX('Metric Weights'!$M$6:$M$13,MATCH(B13,'Metric Weights'!$A$6:$A$13,0))</x:f>
        <x:v>14</x:v>
      </x:c>
      <x:c r="O13" s="59" t="n">
        <x:f>L13*N13</x:f>
        <x:v>9295.104</x:v>
      </x:c>
      <x:c r="P13" s="97" t="n">
        <x:f>INDEX('Metric Weights'!$H$6:$H$13,MATCH(B13,'Metric Weights'!$A$6:$A$13,0))</x:f>
        <x:v>0.012</x:v>
      </x:c>
      <x:c r="Q13" s="96" t="n">
        <x:f>L13*P13</x:f>
        <x:v>7.967231999999999</x:v>
      </x:c>
      <x:c r="R13" s="112" t="n">
        <x:f>C13*D13*E13</x:f>
        <x:v>312</x:v>
      </x:c>
    </x:row>
    <x:row r="14">
      <x:c r="A14" s="19" t="str">
        <x:v>Mid-Market</x:v>
      </x:c>
      <x:c r="B14" s="19" t="str">
        <x:v>agent.summarize</x:v>
      </x:c>
      <x:c r="C14" s="73" t="n">
        <x:v>18</x:v>
      </x:c>
      <x:c r="D14" s="73" t="n">
        <x:v>80</x:v>
      </x:c>
      <x:c r="E14" s="72" t="n">
        <x:v>0.72</x:v>
      </x:c>
      <x:c r="F14" s="109" t="n">
        <x:v>2.6</x:v>
      </x:c>
      <x:c r="G14" s="73" t="n">
        <x:v>21</x:v>
      </x:c>
      <x:c r="H14" s="72" t="n">
        <x:v>0.78</x:v>
      </x:c>
      <x:c r="I14" s="72" t="n">
        <x:v>0.96</x:v>
      </x:c>
      <x:c r="J14" s="72" t="n">
        <x:v>0.2</x:v>
      </x:c>
      <x:c r="K14" s="72" t="n">
        <x:v>0.025</x:v>
      </x:c>
      <x:c r="L14" s="59" t="n">
        <x:f>C14*D14*E14*F14*G14*H14*I14*J14</x:f>
        <x:v>8477.8057728</x:v>
      </x:c>
      <x:c r="M14" s="59" t="n">
        <x:f>L14*(1+K14)^11</x:f>
        <x:v>11123.615841921428</x:v>
      </x:c>
      <x:c r="N14" s="34" t="n">
        <x:f>INDEX('Metric Weights'!$M$6:$M$13,MATCH(B14,'Metric Weights'!$A$6:$A$13,0))</x:f>
        <x:v>4</x:v>
      </x:c>
      <x:c r="O14" s="59" t="n">
        <x:f>L14*N14</x:f>
        <x:v>33911.2230912</x:v>
      </x:c>
      <x:c r="P14" s="97" t="n">
        <x:f>INDEX('Metric Weights'!$H$6:$H$13,MATCH(B14,'Metric Weights'!$A$6:$A$13,0))</x:f>
        <x:v>0.004</x:v>
      </x:c>
      <x:c r="Q14" s="96" t="n">
        <x:f>L14*P14</x:f>
        <x:v>33.9112230912</x:v>
      </x:c>
      <x:c r="R14" s="112" t="n">
        <x:f>C14*D14*E14</x:f>
        <x:v>1036.8</x:v>
      </x:c>
    </x:row>
    <x:row r="15">
      <x:c r="A15" s="19" t="str">
        <x:v>Mid-Market</x:v>
      </x:c>
      <x:c r="B15" s="19" t="str">
        <x:v>agent.deep_research</x:v>
      </x:c>
      <x:c r="C15" s="73" t="n">
        <x:v>18</x:v>
      </x:c>
      <x:c r="D15" s="73" t="n">
        <x:v>80</x:v>
      </x:c>
      <x:c r="E15" s="72" t="n">
        <x:v>0.72</x:v>
      </x:c>
      <x:c r="F15" s="109" t="n">
        <x:v>2.6</x:v>
      </x:c>
      <x:c r="G15" s="73" t="n">
        <x:v>21</x:v>
      </x:c>
      <x:c r="H15" s="72" t="n">
        <x:v>0.78</x:v>
      </x:c>
      <x:c r="I15" s="72" t="n">
        <x:v>0.96</x:v>
      </x:c>
      <x:c r="J15" s="72" t="n">
        <x:v>0.08</x:v>
      </x:c>
      <x:c r="K15" s="72" t="n">
        <x:v>0.025</x:v>
      </x:c>
      <x:c r="L15" s="59" t="n">
        <x:f>C15*D15*E15*F15*G15*H15*I15*J15</x:f>
        <x:v>3391.12230912</x:v>
      </x:c>
      <x:c r="M15" s="59" t="n">
        <x:f>L15*(1+K15)^11</x:f>
        <x:v>4449.446336768571</x:v>
      </x:c>
      <x:c r="N15" s="34" t="n">
        <x:f>INDEX('Metric Weights'!$M$6:$M$13,MATCH(B15,'Metric Weights'!$A$6:$A$13,0))</x:f>
        <x:v>20</x:v>
      </x:c>
      <x:c r="O15" s="59" t="n">
        <x:f>L15*N15</x:f>
        <x:v>67822.4461824</x:v>
      </x:c>
      <x:c r="P15" s="97" t="n">
        <x:f>INDEX('Metric Weights'!$H$6:$H$13,MATCH(B15,'Metric Weights'!$A$6:$A$13,0))</x:f>
        <x:v>0.020000000000000004</x:v>
      </x:c>
      <x:c r="Q15" s="96" t="n">
        <x:f>L15*P15</x:f>
        <x:v>67.82244618240001</x:v>
      </x:c>
      <x:c r="R15" s="112" t="n">
        <x:f>C15*D15*E15</x:f>
        <x:v>1036.8</x:v>
      </x:c>
    </x:row>
    <x:row r="16">
      <x:c r="A16" s="19" t="str">
        <x:v>Mid-Market</x:v>
      </x:c>
      <x:c r="B16" s="19" t="str">
        <x:v>agent.classify</x:v>
      </x:c>
      <x:c r="C16" s="73" t="n">
        <x:v>18</x:v>
      </x:c>
      <x:c r="D16" s="73" t="n">
        <x:v>80</x:v>
      </x:c>
      <x:c r="E16" s="72" t="n">
        <x:v>0.72</x:v>
      </x:c>
      <x:c r="F16" s="109" t="n">
        <x:v>2.6</x:v>
      </x:c>
      <x:c r="G16" s="73" t="n">
        <x:v>21</x:v>
      </x:c>
      <x:c r="H16" s="72" t="n">
        <x:v>0.78</x:v>
      </x:c>
      <x:c r="I16" s="72" t="n">
        <x:v>0.96</x:v>
      </x:c>
      <x:c r="J16" s="72" t="n">
        <x:v>0.14</x:v>
      </x:c>
      <x:c r="K16" s="72" t="n">
        <x:v>0.025</x:v>
      </x:c>
      <x:c r="L16" s="59" t="n">
        <x:f>C16*D16*E16*F16*G16*H16*I16*J16</x:f>
        <x:v>5934.464040960001</x:v>
      </x:c>
      <x:c r="M16" s="59" t="n">
        <x:f>L16*(1+K16)^11</x:f>
        <x:v>7786.531089345</x:v>
      </x:c>
      <x:c r="N16" s="34" t="n">
        <x:f>INDEX('Metric Weights'!$M$6:$M$13,MATCH(B16,'Metric Weights'!$A$6:$A$13,0))</x:f>
        <x:v>1</x:v>
      </x:c>
      <x:c r="O16" s="59" t="n">
        <x:f>L16*N16</x:f>
        <x:v>5934.464040960001</x:v>
      </x:c>
      <x:c r="P16" s="97" t="n">
        <x:f>INDEX('Metric Weights'!$H$6:$H$13,MATCH(B16,'Metric Weights'!$A$6:$A$13,0))</x:f>
        <x:v>0.0011</x:v>
      </x:c>
      <x:c r="Q16" s="96" t="n">
        <x:f>L16*P16</x:f>
        <x:v>6.527910445056001</x:v>
      </x:c>
      <x:c r="R16" s="112" t="n">
        <x:f>C16*D16*E16</x:f>
        <x:v>1036.8</x:v>
      </x:c>
    </x:row>
    <x:row r="17">
      <x:c r="A17" s="19" t="str">
        <x:v>Mid-Market</x:v>
      </x:c>
      <x:c r="B17" s="19" t="str">
        <x:v>agent.extract</x:v>
      </x:c>
      <x:c r="C17" s="73" t="n">
        <x:v>18</x:v>
      </x:c>
      <x:c r="D17" s="73" t="n">
        <x:v>80</x:v>
      </x:c>
      <x:c r="E17" s="72" t="n">
        <x:v>0.72</x:v>
      </x:c>
      <x:c r="F17" s="109" t="n">
        <x:v>2.6</x:v>
      </x:c>
      <x:c r="G17" s="73" t="n">
        <x:v>21</x:v>
      </x:c>
      <x:c r="H17" s="72" t="n">
        <x:v>0.78</x:v>
      </x:c>
      <x:c r="I17" s="72" t="n">
        <x:v>0.96</x:v>
      </x:c>
      <x:c r="J17" s="72" t="n">
        <x:v>0.14</x:v>
      </x:c>
      <x:c r="K17" s="72" t="n">
        <x:v>0.025</x:v>
      </x:c>
      <x:c r="L17" s="59" t="n">
        <x:f>C17*D17*E17*F17*G17*H17*I17*J17</x:f>
        <x:v>5934.464040960001</x:v>
      </x:c>
      <x:c r="M17" s="59" t="n">
        <x:f>L17*(1+K17)^11</x:f>
        <x:v>7786.531089345</x:v>
      </x:c>
      <x:c r="N17" s="34" t="n">
        <x:f>INDEX('Metric Weights'!$M$6:$M$13,MATCH(B17,'Metric Weights'!$A$6:$A$13,0))</x:f>
        <x:v>4</x:v>
      </x:c>
      <x:c r="O17" s="59" t="n">
        <x:f>L17*N17</x:f>
        <x:v>23737.856163840002</x:v>
      </x:c>
      <x:c r="P17" s="97" t="n">
        <x:f>INDEX('Metric Weights'!$H$6:$H$13,MATCH(B17,'Metric Weights'!$A$6:$A$13,0))</x:f>
        <x:v>0.00355</x:v>
      </x:c>
      <x:c r="Q17" s="96" t="n">
        <x:f>L17*P17</x:f>
        <x:v>21.067347345408002</x:v>
      </x:c>
      <x:c r="R17" s="112" t="n">
        <x:f>C17*D17*E17</x:f>
        <x:v>1036.8</x:v>
      </x:c>
    </x:row>
    <x:row r="18">
      <x:c r="A18" s="19" t="str">
        <x:v>Mid-Market</x:v>
      </x:c>
      <x:c r="B18" s="19" t="str">
        <x:v>agent.draft_email</x:v>
      </x:c>
      <x:c r="C18" s="73" t="n">
        <x:v>18</x:v>
      </x:c>
      <x:c r="D18" s="73" t="n">
        <x:v>80</x:v>
      </x:c>
      <x:c r="E18" s="72" t="n">
        <x:v>0.72</x:v>
      </x:c>
      <x:c r="F18" s="109" t="n">
        <x:v>2.6</x:v>
      </x:c>
      <x:c r="G18" s="73" t="n">
        <x:v>21</x:v>
      </x:c>
      <x:c r="H18" s="72" t="n">
        <x:v>0.78</x:v>
      </x:c>
      <x:c r="I18" s="72" t="n">
        <x:v>0.96</x:v>
      </x:c>
      <x:c r="J18" s="72" t="n">
        <x:v>0.1</x:v>
      </x:c>
      <x:c r="K18" s="72" t="n">
        <x:v>0.025</x:v>
      </x:c>
      <x:c r="L18" s="59" t="n">
        <x:f>C18*D18*E18*F18*G18*H18*I18*J18</x:f>
        <x:v>4238.9028864</x:v>
      </x:c>
      <x:c r="M18" s="59" t="n">
        <x:f>L18*(1+K18)^11</x:f>
        <x:v>5561.807920960714</x:v>
      </x:c>
      <x:c r="N18" s="34" t="n">
        <x:f>INDEX('Metric Weights'!$M$6:$M$13,MATCH(B18,'Metric Weights'!$A$6:$A$13,0))</x:f>
        <x:v>6</x:v>
      </x:c>
      <x:c r="O18" s="59" t="n">
        <x:f>L18*N18</x:f>
        <x:v>25433.417318400003</x:v>
      </x:c>
      <x:c r="P18" s="97" t="n">
        <x:f>INDEX('Metric Weights'!$H$6:$H$13,MATCH(B18,'Metric Weights'!$A$6:$A$13,0))</x:f>
        <x:v>0.00455</x:v>
      </x:c>
      <x:c r="Q18" s="96" t="n">
        <x:f>L18*P18</x:f>
        <x:v>19.28700813312</x:v>
      </x:c>
      <x:c r="R18" s="112" t="n">
        <x:f>C18*D18*E18</x:f>
        <x:v>1036.8</x:v>
      </x:c>
    </x:row>
    <x:row r="19">
      <x:c r="A19" s="19" t="str">
        <x:v>Mid-Market</x:v>
      </x:c>
      <x:c r="B19" s="19" t="str">
        <x:v>agent.compare</x:v>
      </x:c>
      <x:c r="C19" s="73" t="n">
        <x:v>18</x:v>
      </x:c>
      <x:c r="D19" s="73" t="n">
        <x:v>80</x:v>
      </x:c>
      <x:c r="E19" s="72" t="n">
        <x:v>0.72</x:v>
      </x:c>
      <x:c r="F19" s="109" t="n">
        <x:v>2.6</x:v>
      </x:c>
      <x:c r="G19" s="73" t="n">
        <x:v>21</x:v>
      </x:c>
      <x:c r="H19" s="72" t="n">
        <x:v>0.78</x:v>
      </x:c>
      <x:c r="I19" s="72" t="n">
        <x:v>0.96</x:v>
      </x:c>
      <x:c r="J19" s="72" t="n">
        <x:v>0.12</x:v>
      </x:c>
      <x:c r="K19" s="72" t="n">
        <x:v>0.025</x:v>
      </x:c>
      <x:c r="L19" s="59" t="n">
        <x:f>C19*D19*E19*F19*G19*H19*I19*J19</x:f>
        <x:v>5086.6834636799995</x:v>
      </x:c>
      <x:c r="M19" s="59" t="n">
        <x:f>L19*(1+K19)^11</x:f>
        <x:v>6674.169505152856</x:v>
      </x:c>
      <x:c r="N19" s="34" t="n">
        <x:f>INDEX('Metric Weights'!$M$6:$M$13,MATCH(B19,'Metric Weights'!$A$6:$A$13,0))</x:f>
        <x:v>8</x:v>
      </x:c>
      <x:c r="O19" s="59" t="n">
        <x:f>L19*N19</x:f>
        <x:v>40693.467709439996</x:v>
      </x:c>
      <x:c r="P19" s="97" t="n">
        <x:f>INDEX('Metric Weights'!$H$6:$H$13,MATCH(B19,'Metric Weights'!$A$6:$A$13,0))</x:f>
        <x:v>0.007300000000000001</x:v>
      </x:c>
      <x:c r="Q19" s="96" t="n">
        <x:f>L19*P19</x:f>
        <x:v>37.132789284864</x:v>
      </x:c>
      <x:c r="R19" s="112" t="n">
        <x:f>C19*D19*E19</x:f>
        <x:v>1036.8</x:v>
      </x:c>
    </x:row>
    <x:row r="20">
      <x:c r="A20" s="19" t="str">
        <x:v>Mid-Market</x:v>
      </x:c>
      <x:c r="B20" s="19" t="str">
        <x:v>agent.monitor_alert</x:v>
      </x:c>
      <x:c r="C20" s="73" t="n">
        <x:v>18</x:v>
      </x:c>
      <x:c r="D20" s="73" t="n">
        <x:v>80</x:v>
      </x:c>
      <x:c r="E20" s="72" t="n">
        <x:v>0.72</x:v>
      </x:c>
      <x:c r="F20" s="109" t="n">
        <x:v>2.6</x:v>
      </x:c>
      <x:c r="G20" s="73" t="n">
        <x:v>21</x:v>
      </x:c>
      <x:c r="H20" s="72" t="n">
        <x:v>0.78</x:v>
      </x:c>
      <x:c r="I20" s="72" t="n">
        <x:v>0.96</x:v>
      </x:c>
      <x:c r="J20" s="72" t="n">
        <x:v>0.12</x:v>
      </x:c>
      <x:c r="K20" s="72" t="n">
        <x:v>0.025</x:v>
      </x:c>
      <x:c r="L20" s="59" t="n">
        <x:f>C20*D20*E20*F20*G20*H20*I20*J20</x:f>
        <x:v>5086.6834636799995</x:v>
      </x:c>
      <x:c r="M20" s="59" t="n">
        <x:f>L20*(1+K20)^11</x:f>
        <x:v>6674.169505152856</x:v>
      </x:c>
      <x:c r="N20" s="34" t="n">
        <x:f>INDEX('Metric Weights'!$M$6:$M$13,MATCH(B20,'Metric Weights'!$A$6:$A$13,0))</x:f>
        <x:v>1</x:v>
      </x:c>
      <x:c r="O20" s="59" t="n">
        <x:f>L20*N20</x:f>
        <x:v>5086.6834636799995</x:v>
      </x:c>
      <x:c r="P20" s="97" t="n">
        <x:f>INDEX('Metric Weights'!$H$6:$H$13,MATCH(B20,'Metric Weights'!$A$6:$A$13,0))</x:f>
        <x:v>0.0019399999999999999</x:v>
      </x:c>
      <x:c r="Q20" s="96" t="n">
        <x:f>L20*P20</x:f>
        <x:v>9.868165919539198</x:v>
      </x:c>
      <x:c r="R20" s="112" t="n">
        <x:f>C20*D20*E20</x:f>
        <x:v>1036.8</x:v>
      </x:c>
    </x:row>
    <x:row r="21">
      <x:c r="A21" s="19" t="str">
        <x:v>Mid-Market</x:v>
      </x:c>
      <x:c r="B21" s="19" t="str">
        <x:v>agent.generate_report</x:v>
      </x:c>
      <x:c r="C21" s="73" t="n">
        <x:v>18</x:v>
      </x:c>
      <x:c r="D21" s="73" t="n">
        <x:v>80</x:v>
      </x:c>
      <x:c r="E21" s="72" t="n">
        <x:v>0.72</x:v>
      </x:c>
      <x:c r="F21" s="109" t="n">
        <x:v>2.6</x:v>
      </x:c>
      <x:c r="G21" s="73" t="n">
        <x:v>21</x:v>
      </x:c>
      <x:c r="H21" s="72" t="n">
        <x:v>0.78</x:v>
      </x:c>
      <x:c r="I21" s="72" t="n">
        <x:v>0.96</x:v>
      </x:c>
      <x:c r="J21" s="72" t="n">
        <x:v>0.1</x:v>
      </x:c>
      <x:c r="K21" s="72" t="n">
        <x:v>0.025</x:v>
      </x:c>
      <x:c r="L21" s="59" t="n">
        <x:f>C21*D21*E21*F21*G21*H21*I21*J21</x:f>
        <x:v>4238.9028864</x:v>
      </x:c>
      <x:c r="M21" s="59" t="n">
        <x:f>L21*(1+K21)^11</x:f>
        <x:v>5561.807920960714</x:v>
      </x:c>
      <x:c r="N21" s="34" t="n">
        <x:f>INDEX('Metric Weights'!$M$6:$M$13,MATCH(B21,'Metric Weights'!$A$6:$A$13,0))</x:f>
        <x:v>14</x:v>
      </x:c>
      <x:c r="O21" s="59" t="n">
        <x:f>L21*N21</x:f>
        <x:v>59344.640409600004</x:v>
      </x:c>
      <x:c r="P21" s="97" t="n">
        <x:f>INDEX('Metric Weights'!$H$6:$H$13,MATCH(B21,'Metric Weights'!$A$6:$A$13,0))</x:f>
        <x:v>0.012</x:v>
      </x:c>
      <x:c r="Q21" s="96" t="n">
        <x:f>L21*P21</x:f>
        <x:v>50.8668346368</x:v>
      </x:c>
      <x:c r="R21" s="112" t="n">
        <x:f>C21*D21*E21</x:f>
        <x:v>1036.8</x:v>
      </x:c>
    </x:row>
    <x:row r="22">
      <x:c r="A22" s="19" t="str">
        <x:v>Enterprise</x:v>
      </x:c>
      <x:c r="B22" s="19" t="str">
        <x:v>agent.summarize</x:v>
      </x:c>
      <x:c r="C22" s="73" t="n">
        <x:v>5</x:v>
      </x:c>
      <x:c r="D22" s="73" t="n">
        <x:v>500</x:v>
      </x:c>
      <x:c r="E22" s="72" t="n">
        <x:v>0.78</x:v>
      </x:c>
      <x:c r="F22" s="109" t="n">
        <x:v>3.1</x:v>
      </x:c>
      <x:c r="G22" s="73" t="n">
        <x:v>22</x:v>
      </x:c>
      <x:c r="H22" s="72" t="n">
        <x:v>0.82</x:v>
      </x:c>
      <x:c r="I22" s="72" t="n">
        <x:v>0.97</x:v>
      </x:c>
      <x:c r="J22" s="72" t="n">
        <x:v>0.15</x:v>
      </x:c>
      <x:c r="K22" s="72" t="n">
        <x:v>0.02</x:v>
      </x:c>
      <x:c r="L22" s="59" t="n">
        <x:f>C22*D22*E22*F22*G22*H22*I22*J22</x:f>
        <x:v>15867.036899999997</x:v>
      </x:c>
      <x:c r="M22" s="59" t="n">
        <x:f>L22*(1+K22)^11</x:f>
        <x:v>19728.666031809928</x:v>
      </x:c>
      <x:c r="N22" s="34" t="n">
        <x:f>INDEX('Metric Weights'!$M$6:$M$13,MATCH(B22,'Metric Weights'!$A$6:$A$13,0))</x:f>
        <x:v>4</x:v>
      </x:c>
      <x:c r="O22" s="59" t="n">
        <x:f>L22*N22</x:f>
        <x:v>63468.14759999999</x:v>
      </x:c>
      <x:c r="P22" s="97" t="n">
        <x:f>INDEX('Metric Weights'!$H$6:$H$13,MATCH(B22,'Metric Weights'!$A$6:$A$13,0))</x:f>
        <x:v>0.004</x:v>
      </x:c>
      <x:c r="Q22" s="96" t="n">
        <x:f>L22*P22</x:f>
        <x:v>63.46814759999999</x:v>
      </x:c>
      <x:c r="R22" s="112" t="n">
        <x:f>C22*D22*E22</x:f>
        <x:v>1950</x:v>
      </x:c>
    </x:row>
    <x:row r="23">
      <x:c r="A23" s="19" t="str">
        <x:v>Enterprise</x:v>
      </x:c>
      <x:c r="B23" s="19" t="str">
        <x:v>agent.deep_research</x:v>
      </x:c>
      <x:c r="C23" s="73" t="n">
        <x:v>5</x:v>
      </x:c>
      <x:c r="D23" s="73" t="n">
        <x:v>500</x:v>
      </x:c>
      <x:c r="E23" s="72" t="n">
        <x:v>0.78</x:v>
      </x:c>
      <x:c r="F23" s="109" t="n">
        <x:v>3.1</x:v>
      </x:c>
      <x:c r="G23" s="73" t="n">
        <x:v>22</x:v>
      </x:c>
      <x:c r="H23" s="72" t="n">
        <x:v>0.82</x:v>
      </x:c>
      <x:c r="I23" s="72" t="n">
        <x:v>0.97</x:v>
      </x:c>
      <x:c r="J23" s="72" t="n">
        <x:v>0.12</x:v>
      </x:c>
      <x:c r="K23" s="72" t="n">
        <x:v>0.02</x:v>
      </x:c>
      <x:c r="L23" s="59" t="n">
        <x:f>C23*D23*E23*F23*G23*H23*I23*J23</x:f>
        <x:v>12693.629519999999</x:v>
      </x:c>
      <x:c r="M23" s="59" t="n">
        <x:f>L23*(1+K23)^11</x:f>
        <x:v>15782.932825447942</x:v>
      </x:c>
      <x:c r="N23" s="34" t="n">
        <x:f>INDEX('Metric Weights'!$M$6:$M$13,MATCH(B23,'Metric Weights'!$A$6:$A$13,0))</x:f>
        <x:v>20</x:v>
      </x:c>
      <x:c r="O23" s="59" t="n">
        <x:f>L23*N23</x:f>
        <x:v>253872.5904</x:v>
      </x:c>
      <x:c r="P23" s="97" t="n">
        <x:f>INDEX('Metric Weights'!$H$6:$H$13,MATCH(B23,'Metric Weights'!$A$6:$A$13,0))</x:f>
        <x:v>0.020000000000000004</x:v>
      </x:c>
      <x:c r="Q23" s="96" t="n">
        <x:f>L23*P23</x:f>
        <x:v>253.8725904</x:v>
      </x:c>
      <x:c r="R23" s="112" t="n">
        <x:f>C23*D23*E23</x:f>
        <x:v>1950</x:v>
      </x:c>
    </x:row>
    <x:row r="24">
      <x:c r="A24" s="19" t="str">
        <x:v>Enterprise</x:v>
      </x:c>
      <x:c r="B24" s="19" t="str">
        <x:v>agent.classify</x:v>
      </x:c>
      <x:c r="C24" s="73" t="n">
        <x:v>5</x:v>
      </x:c>
      <x:c r="D24" s="73" t="n">
        <x:v>500</x:v>
      </x:c>
      <x:c r="E24" s="72" t="n">
        <x:v>0.78</x:v>
      </x:c>
      <x:c r="F24" s="109" t="n">
        <x:v>3.1</x:v>
      </x:c>
      <x:c r="G24" s="73" t="n">
        <x:v>22</x:v>
      </x:c>
      <x:c r="H24" s="72" t="n">
        <x:v>0.82</x:v>
      </x:c>
      <x:c r="I24" s="72" t="n">
        <x:v>0.97</x:v>
      </x:c>
      <x:c r="J24" s="72" t="n">
        <x:v>0.1</x:v>
      </x:c>
      <x:c r="K24" s="72" t="n">
        <x:v>0.02</x:v>
      </x:c>
      <x:c r="L24" s="59" t="n">
        <x:f>C24*D24*E24*F24*G24*H24*I24*J24</x:f>
        <x:v>10578.024599999999</x:v>
      </x:c>
      <x:c r="M24" s="59" t="n">
        <x:f>L24*(1+K24)^11</x:f>
        <x:v>13152.444021206618</x:v>
      </x:c>
      <x:c r="N24" s="34" t="n">
        <x:f>INDEX('Metric Weights'!$M$6:$M$13,MATCH(B24,'Metric Weights'!$A$6:$A$13,0))</x:f>
        <x:v>1</x:v>
      </x:c>
      <x:c r="O24" s="59" t="n">
        <x:f>L24*N24</x:f>
        <x:v>10578.024599999999</x:v>
      </x:c>
      <x:c r="P24" s="97" t="n">
        <x:f>INDEX('Metric Weights'!$H$6:$H$13,MATCH(B24,'Metric Weights'!$A$6:$A$13,0))</x:f>
        <x:v>0.0011</x:v>
      </x:c>
      <x:c r="Q24" s="96" t="n">
        <x:f>L24*P24</x:f>
        <x:v>11.635827059999999</x:v>
      </x:c>
      <x:c r="R24" s="112" t="n">
        <x:f>C24*D24*E24</x:f>
        <x:v>1950</x:v>
      </x:c>
    </x:row>
    <x:row r="25">
      <x:c r="A25" s="19" t="str">
        <x:v>Enterprise</x:v>
      </x:c>
      <x:c r="B25" s="19" t="str">
        <x:v>agent.extract</x:v>
      </x:c>
      <x:c r="C25" s="73" t="n">
        <x:v>5</x:v>
      </x:c>
      <x:c r="D25" s="73" t="n">
        <x:v>500</x:v>
      </x:c>
      <x:c r="E25" s="72" t="n">
        <x:v>0.78</x:v>
      </x:c>
      <x:c r="F25" s="109" t="n">
        <x:v>3.1</x:v>
      </x:c>
      <x:c r="G25" s="73" t="n">
        <x:v>22</x:v>
      </x:c>
      <x:c r="H25" s="72" t="n">
        <x:v>0.82</x:v>
      </x:c>
      <x:c r="I25" s="72" t="n">
        <x:v>0.97</x:v>
      </x:c>
      <x:c r="J25" s="72" t="n">
        <x:v>0.13</x:v>
      </x:c>
      <x:c r="K25" s="72" t="n">
        <x:v>0.02</x:v>
      </x:c>
      <x:c r="L25" s="59" t="n">
        <x:f>C25*D25*E25*F25*G25*H25*I25*J25</x:f>
        <x:v>13751.431979999998</x:v>
      </x:c>
      <x:c r="M25" s="59" t="n">
        <x:f>L25*(1+K25)^11</x:f>
        <x:v>17098.1772275686</x:v>
      </x:c>
      <x:c r="N25" s="34" t="n">
        <x:f>INDEX('Metric Weights'!$M$6:$M$13,MATCH(B25,'Metric Weights'!$A$6:$A$13,0))</x:f>
        <x:v>4</x:v>
      </x:c>
      <x:c r="O25" s="59" t="n">
        <x:f>L25*N25</x:f>
        <x:v>55005.72791999999</x:v>
      </x:c>
      <x:c r="P25" s="97" t="n">
        <x:f>INDEX('Metric Weights'!$H$6:$H$13,MATCH(B25,'Metric Weights'!$A$6:$A$13,0))</x:f>
        <x:v>0.00355</x:v>
      </x:c>
      <x:c r="Q25" s="96" t="n">
        <x:f>L25*P25</x:f>
        <x:v>48.817583529</x:v>
      </x:c>
      <x:c r="R25" s="112" t="n">
        <x:f>C25*D25*E25</x:f>
        <x:v>1950</x:v>
      </x:c>
    </x:row>
    <x:row r="26">
      <x:c r="A26" s="19" t="str">
        <x:v>Enterprise</x:v>
      </x:c>
      <x:c r="B26" s="19" t="str">
        <x:v>agent.draft_email</x:v>
      </x:c>
      <x:c r="C26" s="73" t="n">
        <x:v>5</x:v>
      </x:c>
      <x:c r="D26" s="73" t="n">
        <x:v>500</x:v>
      </x:c>
      <x:c r="E26" s="72" t="n">
        <x:v>0.78</x:v>
      </x:c>
      <x:c r="F26" s="109" t="n">
        <x:v>3.1</x:v>
      </x:c>
      <x:c r="G26" s="73" t="n">
        <x:v>22</x:v>
      </x:c>
      <x:c r="H26" s="72" t="n">
        <x:v>0.82</x:v>
      </x:c>
      <x:c r="I26" s="72" t="n">
        <x:v>0.97</x:v>
      </x:c>
      <x:c r="J26" s="72" t="n">
        <x:v>0.08</x:v>
      </x:c>
      <x:c r="K26" s="72" t="n">
        <x:v>0.02</x:v>
      </x:c>
      <x:c r="L26" s="59" t="n">
        <x:f>C26*D26*E26*F26*G26*H26*I26*J26</x:f>
        <x:v>8462.419679999999</x:v>
      </x:c>
      <x:c r="M26" s="59" t="n">
        <x:f>L26*(1+K26)^11</x:f>
        <x:v>10521.955216965294</x:v>
      </x:c>
      <x:c r="N26" s="34" t="n">
        <x:f>INDEX('Metric Weights'!$M$6:$M$13,MATCH(B26,'Metric Weights'!$A$6:$A$13,0))</x:f>
        <x:v>6</x:v>
      </x:c>
      <x:c r="O26" s="59" t="n">
        <x:f>L26*N26</x:f>
        <x:v>50774.518079999994</x:v>
      </x:c>
      <x:c r="P26" s="97" t="n">
        <x:f>INDEX('Metric Weights'!$H$6:$H$13,MATCH(B26,'Metric Weights'!$A$6:$A$13,0))</x:f>
        <x:v>0.00455</x:v>
      </x:c>
      <x:c r="Q26" s="96" t="n">
        <x:f>L26*P26</x:f>
        <x:v>38.504009544</x:v>
      </x:c>
      <x:c r="R26" s="112" t="n">
        <x:f>C26*D26*E26</x:f>
        <x:v>1950</x:v>
      </x:c>
    </x:row>
    <x:row r="27">
      <x:c r="A27" s="19" t="str">
        <x:v>Enterprise</x:v>
      </x:c>
      <x:c r="B27" s="19" t="str">
        <x:v>agent.compare</x:v>
      </x:c>
      <x:c r="C27" s="73" t="n">
        <x:v>5</x:v>
      </x:c>
      <x:c r="D27" s="73" t="n">
        <x:v>500</x:v>
      </x:c>
      <x:c r="E27" s="72" t="n">
        <x:v>0.78</x:v>
      </x:c>
      <x:c r="F27" s="109" t="n">
        <x:v>3.1</x:v>
      </x:c>
      <x:c r="G27" s="73" t="n">
        <x:v>22</x:v>
      </x:c>
      <x:c r="H27" s="72" t="n">
        <x:v>0.82</x:v>
      </x:c>
      <x:c r="I27" s="72" t="n">
        <x:v>0.97</x:v>
      </x:c>
      <x:c r="J27" s="72" t="n">
        <x:v>0.14</x:v>
      </x:c>
      <x:c r="K27" s="72" t="n">
        <x:v>0.02</x:v>
      </x:c>
      <x:c r="L27" s="59" t="n">
        <x:f>C27*D27*E27*F27*G27*H27*I27*J27</x:f>
        <x:v>14809.234439999998</x:v>
      </x:c>
      <x:c r="M27" s="59" t="n">
        <x:f>L27*(1+K27)^11</x:f>
        <x:v>18413.421629689266</x:v>
      </x:c>
      <x:c r="N27" s="34" t="n">
        <x:f>INDEX('Metric Weights'!$M$6:$M$13,MATCH(B27,'Metric Weights'!$A$6:$A$13,0))</x:f>
        <x:v>8</x:v>
      </x:c>
      <x:c r="O27" s="59" t="n">
        <x:f>L27*N27</x:f>
        <x:v>118473.87551999999</x:v>
      </x:c>
      <x:c r="P27" s="97" t="n">
        <x:f>INDEX('Metric Weights'!$H$6:$H$13,MATCH(B27,'Metric Weights'!$A$6:$A$13,0))</x:f>
        <x:v>0.007300000000000001</x:v>
      </x:c>
      <x:c r="Q27" s="96" t="n">
        <x:f>L27*P27</x:f>
        <x:v>108.107411412</x:v>
      </x:c>
      <x:c r="R27" s="112" t="n">
        <x:f>C27*D27*E27</x:f>
        <x:v>1950</x:v>
      </x:c>
    </x:row>
    <x:row r="28">
      <x:c r="A28" s="19" t="str">
        <x:v>Enterprise</x:v>
      </x:c>
      <x:c r="B28" s="19" t="str">
        <x:v>agent.monitor_alert</x:v>
      </x:c>
      <x:c r="C28" s="73" t="n">
        <x:v>5</x:v>
      </x:c>
      <x:c r="D28" s="73" t="n">
        <x:v>500</x:v>
      </x:c>
      <x:c r="E28" s="72" t="n">
        <x:v>0.78</x:v>
      </x:c>
      <x:c r="F28" s="109" t="n">
        <x:v>3.1</x:v>
      </x:c>
      <x:c r="G28" s="73" t="n">
        <x:v>22</x:v>
      </x:c>
      <x:c r="H28" s="72" t="n">
        <x:v>0.82</x:v>
      </x:c>
      <x:c r="I28" s="72" t="n">
        <x:v>0.97</x:v>
      </x:c>
      <x:c r="J28" s="72" t="n">
        <x:v>0.15</x:v>
      </x:c>
      <x:c r="K28" s="72" t="n">
        <x:v>0.02</x:v>
      </x:c>
      <x:c r="L28" s="59" t="n">
        <x:f>C28*D28*E28*F28*G28*H28*I28*J28</x:f>
        <x:v>15867.036899999997</x:v>
      </x:c>
      <x:c r="M28" s="59" t="n">
        <x:f>L28*(1+K28)^11</x:f>
        <x:v>19728.666031809928</x:v>
      </x:c>
      <x:c r="N28" s="34" t="n">
        <x:f>INDEX('Metric Weights'!$M$6:$M$13,MATCH(B28,'Metric Weights'!$A$6:$A$13,0))</x:f>
        <x:v>1</x:v>
      </x:c>
      <x:c r="O28" s="59" t="n">
        <x:f>L28*N28</x:f>
        <x:v>15867.036899999997</x:v>
      </x:c>
      <x:c r="P28" s="97" t="n">
        <x:f>INDEX('Metric Weights'!$H$6:$H$13,MATCH(B28,'Metric Weights'!$A$6:$A$13,0))</x:f>
        <x:v>0.0019399999999999999</x:v>
      </x:c>
      <x:c r="Q28" s="96" t="n">
        <x:f>L28*P28</x:f>
        <x:v>30.782051585999994</x:v>
      </x:c>
      <x:c r="R28" s="112" t="n">
        <x:f>C28*D28*E28</x:f>
        <x:v>1950</x:v>
      </x:c>
    </x:row>
    <x:row r="29">
      <x:c r="A29" s="21" t="str">
        <x:v>Enterprise</x:v>
      </x:c>
      <x:c r="B29" s="21" t="str">
        <x:v>agent.generate_report</x:v>
      </x:c>
      <x:c r="C29" s="81" t="n">
        <x:v>5</x:v>
      </x:c>
      <x:c r="D29" s="81" t="n">
        <x:v>500</x:v>
      </x:c>
      <x:c r="E29" s="76" t="n">
        <x:v>0.78</x:v>
      </x:c>
      <x:c r="F29" s="110" t="n">
        <x:v>3.1</x:v>
      </x:c>
      <x:c r="G29" s="81" t="n">
        <x:v>22</x:v>
      </x:c>
      <x:c r="H29" s="76" t="n">
        <x:v>0.82</x:v>
      </x:c>
      <x:c r="I29" s="76" t="n">
        <x:v>0.97</x:v>
      </x:c>
      <x:c r="J29" s="76" t="n">
        <x:v>0.13</x:v>
      </x:c>
      <x:c r="K29" s="76" t="n">
        <x:v>0.02</x:v>
      </x:c>
      <x:c r="L29" s="101" t="n">
        <x:f>C29*D29*E29*F29*G29*H29*I29*J29</x:f>
        <x:v>13751.431979999998</x:v>
      </x:c>
      <x:c r="M29" s="101" t="n">
        <x:f>L29*(1+K29)^11</x:f>
        <x:v>17098.1772275686</x:v>
      </x:c>
      <x:c r="N29" s="31" t="n">
        <x:f>INDEX('Metric Weights'!$M$6:$M$13,MATCH(B29,'Metric Weights'!$A$6:$A$13,0))</x:f>
        <x:v>14</x:v>
      </x:c>
      <x:c r="O29" s="101" t="n">
        <x:f>L29*N29</x:f>
        <x:v>192520.04771999997</x:v>
      </x:c>
      <x:c r="P29" s="99" t="n">
        <x:f>INDEX('Metric Weights'!$H$6:$H$13,MATCH(B29,'Metric Weights'!$A$6:$A$13,0))</x:f>
        <x:v>0.012</x:v>
      </x:c>
      <x:c r="Q29" s="98" t="n">
        <x:f>L29*P29</x:f>
        <x:v>165.01718375999997</x:v>
      </x:c>
      <x:c r="R29" s="113" t="n">
        <x:f>C29*D29*E29</x:f>
        <x:v>1950</x:v>
      </x:c>
    </x:row>
  </x:sheetData>
  <x:mergeCells>
    <x:mergeCell ref="A1:AB1"/>
    <x:mergeCell ref="A2:AB2"/>
    <x:mergeCell ref="A4:R4"/>
    <x:mergeCell ref="T4:AB4"/>
    <x:mergeCell ref="T11:AB11"/>
    <x:mergeCell ref="T12:AB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9" hidden="0" customWidth="1"/>
    <x:col min="8" max="8" width="19" hidden="0" customWidth="1"/>
    <x:col min="9" max="9" width="19" hidden="0" customWidth="1"/>
    <x:col min="10" max="10" width="14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" t="str">
        <x:v>Scenarios</x:v>
      </x:c>
      <x:c r="B1" s="3" t="str">
        <x:v>Scenarios</x:v>
      </x:c>
      <x:c r="C1" s="3" t="str">
        <x:v>Scenarios</x:v>
      </x:c>
      <x:c r="D1" s="3" t="str">
        <x:v>Scenarios</x:v>
      </x:c>
      <x:c r="E1" s="3" t="str">
        <x:v>Scenarios</x:v>
      </x:c>
      <x:c r="F1" s="3" t="str">
        <x:v>Scenarios</x:v>
      </x:c>
      <x:c r="G1" s="3" t="str">
        <x:v>Scenarios</x:v>
      </x:c>
      <x:c r="H1" s="3" t="str">
        <x:v>Scenarios</x:v>
      </x:c>
      <x:c r="I1" s="3" t="str">
        <x:v>Scenarios</x:v>
      </x:c>
      <x:c r="J1" s="3" t="str">
        <x:v>Scenarios</x:v>
      </x:c>
      <x:c r="K1" s="3" t="str">
        <x:v>Scenarios</x:v>
      </x:c>
      <x:c r="L1" s="3" t="str">
        <x:v>Scenarios</x:v>
      </x:c>
      <x:c r="M1" s="3" t="str">
        <x:v>Scenarios</x:v>
      </x:c>
    </x:row>
    <x:row r="2" ht="30" customHeight="1">
      <x:c r="A2" s="7" t="str">
        <x:v>Monthly low, base, and high economics. Volume scales demand; token and cost multipliers scale provider cost.</x:v>
      </x:c>
      <x:c r="B2" s="7" t="str">
        <x:v>Monthly low, base, and high economics. Volume scales demand; token and cost multipliers scale provider cost.</x:v>
      </x:c>
      <x:c r="C2" s="7" t="str">
        <x:v>Monthly low, base, and high economics. Volume scales demand; token and cost multipliers scale provider cost.</x:v>
      </x:c>
      <x:c r="D2" s="7" t="str">
        <x:v>Monthly low, base, and high economics. Volume scales demand; token and cost multipliers scale provider cost.</x:v>
      </x:c>
      <x:c r="E2" s="7" t="str">
        <x:v>Monthly low, base, and high economics. Volume scales demand; token and cost multipliers scale provider cost.</x:v>
      </x:c>
      <x:c r="F2" s="7" t="str">
        <x:v>Monthly low, base, and high economics. Volume scales demand; token and cost multipliers scale provider cost.</x:v>
      </x:c>
      <x:c r="G2" s="7" t="str">
        <x:v>Monthly low, base, and high economics. Volume scales demand; token and cost multipliers scale provider cost.</x:v>
      </x:c>
      <x:c r="H2" s="7" t="str">
        <x:v>Monthly low, base, and high economics. Volume scales demand; token and cost multipliers scale provider cost.</x:v>
      </x:c>
      <x:c r="I2" s="7" t="str">
        <x:v>Monthly low, base, and high economics. Volume scales demand; token and cost multipliers scale provider cost.</x:v>
      </x:c>
      <x:c r="J2" s="7" t="str">
        <x:v>Monthly low, base, and high economics. Volume scales demand; token and cost multipliers scale provider cost.</x:v>
      </x:c>
      <x:c r="K2" s="7" t="str">
        <x:v>Monthly low, base, and high economics. Volume scales demand; token and cost multipliers scale provider cost.</x:v>
      </x:c>
      <x:c r="L2" s="7" t="str">
        <x:v>Monthly low, base, and high economics. Volume scales demand; token and cost multipliers scale provider cost.</x:v>
      </x:c>
      <x:c r="M2" s="7" t="str">
        <x:v>Monthly low, base, and high economics. Volume scales demand; token and cost multipliers scale provider cost.</x:v>
      </x:c>
    </x:row>
    <x:row r="4" ht="24" customHeight="1">
      <x:c r="A4" s="10" t="str">
        <x:v>Monthly Scenario Economics</x:v>
      </x:c>
      <x:c r="B4" s="10" t="str">
        <x:v>Monthly Scenario Economics</x:v>
      </x:c>
      <x:c r="C4" s="10" t="str">
        <x:v>Monthly Scenario Economics</x:v>
      </x:c>
      <x:c r="D4" s="10" t="str">
        <x:v>Monthly Scenario Economics</x:v>
      </x:c>
      <x:c r="E4" s="10" t="str">
        <x:v>Monthly Scenario Economics</x:v>
      </x:c>
      <x:c r="F4" s="10" t="str">
        <x:v>Monthly Scenario Economics</x:v>
      </x:c>
      <x:c r="G4" s="10" t="str">
        <x:v>Monthly Scenario Economics</x:v>
      </x:c>
      <x:c r="H4" s="10" t="str">
        <x:v>Monthly Scenario Economics</x:v>
      </x:c>
      <x:c r="I4" s="10" t="str">
        <x:v>Monthly Scenario Economics</x:v>
      </x:c>
      <x:c r="J4" s="10" t="str">
        <x:v>Monthly Scenario Economics</x:v>
      </x:c>
      <x:c r="K4" s="10" t="str">
        <x:v>Monthly Scenario Economics</x:v>
      </x:c>
      <x:c r="L4" s="10" t="str">
        <x:v>Monthly Scenario Economics</x:v>
      </x:c>
      <x:c r="M4" s="10" t="str">
        <x:v>Monthly Scenario Economics</x:v>
      </x:c>
    </x:row>
    <x:row r="5" ht="34" customHeight="1">
      <x:c r="A5" s="54" t="str">
        <x:v>Scenario</x:v>
      </x:c>
      <x:c r="B5" s="55" t="str">
        <x:v>Volume Multiplier</x:v>
      </x:c>
      <x:c r="C5" s="55" t="str">
        <x:v>Token Multiplier</x:v>
      </x:c>
      <x:c r="D5" s="55" t="str">
        <x:v>Cost Multiplier</x:v>
      </x:c>
      <x:c r="E5" s="55" t="str">
        <x:v>Monthly Actions</x:v>
      </x:c>
      <x:c r="F5" s="55" t="str">
        <x:v>Monthly Credits</x:v>
      </x:c>
      <x:c r="G5" s="55" t="str">
        <x:v>Monthly Provider Cost</x:v>
      </x:c>
      <x:c r="H5" s="55" t="str">
        <x:v>Usage Revenue</x:v>
      </x:c>
      <x:c r="I5" s="55" t="str">
        <x:v>Gross Profit</x:v>
      </x:c>
      <x:c r="J5" s="55" t="str">
        <x:v>Gross Margin</x:v>
      </x:c>
      <x:c r="K5" s="55" t="str">
        <x:v>Credits / Active Seat</x:v>
      </x:c>
      <x:c r="L5" s="55" t="str">
        <x:v>Credits / Customer</x:v>
      </x:c>
      <x:c r="M5" s="56" t="str">
        <x:v>GM vs Target</x:v>
      </x:c>
    </x:row>
    <x:row r="6">
      <x:c r="A6" s="25" t="str">
        <x:f>'Assumptions'!A17</x:f>
        <x:v>Low</x:v>
      </x:c>
      <x:c r="B6" s="120" t="n">
        <x:f>'Assumptions'!B17</x:f>
        <x:v>0.7</x:v>
      </x:c>
      <x:c r="C6" s="120" t="n">
        <x:f>'Assumptions'!C17</x:f>
        <x:v>0.8</x:v>
      </x:c>
      <x:c r="D6" s="120" t="n">
        <x:f>'Assumptions'!D17</x:f>
        <x:v>1</x:v>
      </x:c>
      <x:c r="E6" s="28" t="n">
        <x:f>SUM('Customer Drivers'!$L$6:$L$29)*B6</x:f>
        <x:v>109527.93240479998</x:v>
      </x:c>
      <x:c r="F6" s="28" t="n">
        <x:f>SUMPRODUCT('Customer Drivers'!$L$6:$L$29,'Customer Drivers'!$N$6:$N$29)*B6</x:f>
        <x:v>747079.7985836639</x:v>
      </x:c>
      <x:c r="G6" s="121" t="n">
        <x:f>SUMPRODUCT('Customer Drivers'!$L$6:$L$29,'Customer Drivers'!$P$6:$P$29)*B6*C6*D6</x:f>
        <x:v>564.9332974260568</x:v>
      </x:c>
      <x:c r="H6" s="121" t="n">
        <x:f>F6*'Assumptions'!$C$6</x:f>
        <x:v>7470.797985836639</x:v>
      </x:c>
      <x:c r="I6" s="121" t="n">
        <x:f>H6-G6</x:f>
        <x:v>6905.864688410582</x:v>
      </x:c>
      <x:c r="J6" s="120" t="n">
        <x:f>IF(H6=0,0,I6/H6)</x:f>
        <x:v>0.924381130570379</x:v>
      </x:c>
      <x:c r="K6" s="32" t="n">
        <x:f>IF('Customer Drivers'!$W$9=0,0,F6/'Customer Drivers'!$W$9)</x:f>
        <x:v>226.47017054191338</x:v>
      </x:c>
      <x:c r="L6" s="32" t="n">
        <x:f>IF('Customer Drivers'!$U$9=0,0,F6/'Customer Drivers'!$U$9)</x:f>
        <x:v>11858.409501327998</x:v>
      </x:c>
      <x:c r="M6" s="120" t="n">
        <x:f>J6-'Assumptions'!$C$7</x:f>
        <x:v>0.224381130570379</x:v>
      </x:c>
    </x:row>
    <x:row r="7">
      <x:c r="A7" s="125" t="str">
        <x:f>'Assumptions'!A18</x:f>
        <x:v>Base</x:v>
      </x:c>
      <x:c r="B7" s="126" t="n">
        <x:f>'Assumptions'!B18</x:f>
        <x:v>1</x:v>
      </x:c>
      <x:c r="C7" s="126" t="n">
        <x:f>'Assumptions'!C18</x:f>
        <x:v>1</x:v>
      </x:c>
      <x:c r="D7" s="126" t="n">
        <x:f>'Assumptions'!D18</x:f>
        <x:v>1</x:v>
      </x:c>
      <x:c r="E7" s="127" t="n">
        <x:f>SUM('Customer Drivers'!$L$6:$L$29)*B7</x:f>
        <x:v>156468.474864</x:v>
      </x:c>
      <x:c r="F7" s="127" t="n">
        <x:f>SUMPRODUCT('Customer Drivers'!$L$6:$L$29,'Customer Drivers'!$N$6:$N$29)*B7</x:f>
        <x:v>1067256.8551195199</x:v>
      </x:c>
      <x:c r="G7" s="128" t="n">
        <x:f>SUMPRODUCT('Customer Drivers'!$L$6:$L$29,'Customer Drivers'!$P$6:$P$29)*B7*C7*D7</x:f>
        <x:v>1008.8094596893872</x:v>
      </x:c>
      <x:c r="H7" s="128" t="n">
        <x:f>F7*'Assumptions'!$C$6</x:f>
        <x:v>10672.5685511952</x:v>
      </x:c>
      <x:c r="I7" s="128" t="n">
        <x:f>H7-G7</x:f>
        <x:v>9663.759091505812</x:v>
      </x:c>
      <x:c r="J7" s="126" t="n">
        <x:f>IF(H7=0,0,I7/H7)</x:f>
        <x:v>0.9054764132129736</x:v>
      </x:c>
      <x:c r="K7" s="129" t="n">
        <x:f>IF('Customer Drivers'!$W$9=0,0,F7/'Customer Drivers'!$W$9)</x:f>
        <x:v>323.52881505987625</x:v>
      </x:c>
      <x:c r="L7" s="129" t="n">
        <x:f>IF('Customer Drivers'!$U$9=0,0,F7/'Customer Drivers'!$U$9)</x:f>
        <x:v>16940.58500189714</x:v>
      </x:c>
      <x:c r="M7" s="126" t="n">
        <x:f>J7-'Assumptions'!$C$7</x:f>
        <x:v>0.2054764132129736</x:v>
      </x:c>
    </x:row>
    <x:row r="8">
      <x:c r="A8" s="27" t="str">
        <x:f>'Assumptions'!A19</x:f>
        <x:v>High</x:v>
      </x:c>
      <x:c r="B8" s="35" t="n">
        <x:f>'Assumptions'!B19</x:f>
        <x:v>1.4</x:v>
      </x:c>
      <x:c r="C8" s="35" t="n">
        <x:f>'Assumptions'!C19</x:f>
        <x:v>1.3</x:v>
      </x:c>
      <x:c r="D8" s="35" t="n">
        <x:f>'Assumptions'!D19</x:f>
        <x:v>1.1</x:v>
      </x:c>
      <x:c r="E8" s="31" t="n">
        <x:f>SUM('Customer Drivers'!$L$6:$L$29)*B8</x:f>
        <x:v>219055.86480959997</x:v>
      </x:c>
      <x:c r="F8" s="31" t="n">
        <x:f>SUMPRODUCT('Customer Drivers'!$L$6:$L$29,'Customer Drivers'!$N$6:$N$29)*B8</x:f>
        <x:v>1494159.5971673278</x:v>
      </x:c>
      <x:c r="G8" s="122" t="n">
        <x:f>SUMPRODUCT('Customer Drivers'!$L$6:$L$29,'Customer Drivers'!$P$6:$P$29)*B8*C8*D8</x:f>
        <x:v>2019.6365382981533</x:v>
      </x:c>
      <x:c r="H8" s="122" t="n">
        <x:f>F8*'Assumptions'!$C$6</x:f>
        <x:v>14941.595971673278</x:v>
      </x:c>
      <x:c r="I8" s="122" t="n">
        <x:f>H8-G8</x:f>
        <x:v>12921.959433375125</x:v>
      </x:c>
      <x:c r="J8" s="35" t="n">
        <x:f>IF(H8=0,0,I8/H8)</x:f>
        <x:v>0.8648312708945524</x:v>
      </x:c>
      <x:c r="K8" s="124" t="n">
        <x:f>IF('Customer Drivers'!$W$9=0,0,F8/'Customer Drivers'!$W$9)</x:f>
        <x:v>452.94034108382675</x:v>
      </x:c>
      <x:c r="L8" s="124" t="n">
        <x:f>IF('Customer Drivers'!$U$9=0,0,F8/'Customer Drivers'!$U$9)</x:f>
        <x:v>23716.819002655997</x:v>
      </x:c>
      <x:c r="M8" s="35" t="n">
        <x:f>J8-'Assumptions'!$C$7</x:f>
        <x:v>0.1648312708945524</x:v>
      </x:c>
    </x:row>
    <x:row r="11" ht="24" customHeight="1">
      <x:c r="A11" s="10" t="str">
        <x:v>Interpretation</x:v>
      </x:c>
      <x:c r="B11" s="10" t="str">
        <x:v>Interpretation</x:v>
      </x:c>
      <x:c r="C11" s="10" t="str">
        <x:v>Interpretation</x:v>
      </x:c>
      <x:c r="D11" s="10" t="str">
        <x:v>Interpretation</x:v>
      </x:c>
      <x:c r="E11" s="10" t="str">
        <x:v>Interpretation</x:v>
      </x:c>
      <x:c r="F11" s="10" t="str">
        <x:v>Interpretation</x:v>
      </x:c>
      <x:c r="G11" s="10" t="str">
        <x:v>Interpretation</x:v>
      </x:c>
      <x:c r="H11" s="10" t="str">
        <x:v>Interpretation</x:v>
      </x:c>
      <x:c r="I11" s="10" t="str">
        <x:v>Interpretation</x:v>
      </x:c>
      <x:c r="J11" s="10" t="str">
        <x:v>Interpretation</x:v>
      </x:c>
      <x:c r="K11" s="10" t="str">
        <x:v>Interpretation</x:v>
      </x:c>
      <x:c r="L11" s="10" t="str">
        <x:v>Interpretation</x:v>
      </x:c>
      <x:c r="M11" s="10" t="str">
        <x:v>Interpretation</x:v>
      </x:c>
    </x:row>
    <x:row r="12" ht="25" customHeight="1">
      <x:c r="A12" s="64" t="str">
        <x:v>Monthly credits = SUMPRODUCT(base monthly volume, recommended credit weight) × volume multiplier.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</x:row>
    <x:row r="13" ht="25" customHeight="1">
      <x:c r="A13" s="64" t="str">
        <x:v>Monthly provider cost = SUMPRODUCT(base monthly volume, unit cost) × volume multiplier × token multiplier × cost multiplier.</x:v>
      </x:c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</x:row>
    <x:row r="14" ht="25" customHeight="1">
      <x:c r="A14" s="64" t="str">
        <x:v>Usage revenue uses realized price per credit; gross margin excludes fixed platform fees and does not assume breakage.</x:v>
      </x:c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</x:row>
  </x:sheetData>
  <x:mergeCells>
    <x:mergeCell ref="A1:M1"/>
    <x:mergeCell ref="A2:M2"/>
    <x:mergeCell ref="A4:M4"/>
    <x:mergeCell ref="A11:M11"/>
    <x:mergeCell ref="A12:M12"/>
    <x:mergeCell ref="A13:M13"/>
    <x:mergeCell ref="A14:M14"/>
  </x:mergeCells>
  <x:pageMargins left="0.7" right="0.7" top="0.75" bottom="0.75" header="0.3" footer="0.3"/>
  <x:legacyDrawing xmlns:r="http://schemas.openxmlformats.org/officeDocument/2006/relationships" r:id="R07b1b1d6a74d4739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22" hidden="0" customWidth="1"/>
    <x:col min="13" max="13" width="18" hidden="0" customWidth="1"/>
    <x:col min="14" max="14" width="18" hidden="0" customWidth="1"/>
    <x:col min="15" max="15" width="18" hidden="0" customWidth="1"/>
    <x:col min="16" max="16" width="17" hidden="0" customWidth="1"/>
    <x:col min="17" max="17" width="15" hidden="0" customWidth="1"/>
    <x:col min="18" max="18" width="17" hidden="0" customWidth="1"/>
    <x:col min="19" max="19" width="17" hidden="0" customWidth="1"/>
  </x:cols>
  <x:sheetData>
    <x:row r="1" ht="34" customHeight="1">
      <x:c r="A1" s="3" t="str">
        <x:v>Plan Design</x:v>
      </x:c>
      <x:c r="B1" s="3" t="str">
        <x:v>Plan Design</x:v>
      </x:c>
      <x:c r="C1" s="3" t="str">
        <x:v>Plan Design</x:v>
      </x:c>
      <x:c r="D1" s="3" t="str">
        <x:v>Plan Design</x:v>
      </x:c>
      <x:c r="E1" s="3" t="str">
        <x:v>Plan Design</x:v>
      </x:c>
      <x:c r="F1" s="3" t="str">
        <x:v>Plan Design</x:v>
      </x:c>
      <x:c r="G1" s="3" t="str">
        <x:v>Plan Design</x:v>
      </x:c>
      <x:c r="H1" s="3" t="str">
        <x:v>Plan Design</x:v>
      </x:c>
      <x:c r="I1" s="3" t="str">
        <x:v>Plan Design</x:v>
      </x:c>
      <x:c r="J1" s="3" t="str">
        <x:v>Plan Design</x:v>
      </x:c>
      <x:c r="K1" s="3" t="str">
        <x:v>Plan Design</x:v>
      </x:c>
      <x:c r="L1" s="3" t="str">
        <x:v>Plan Design</x:v>
      </x:c>
      <x:c r="M1" s="3" t="str">
        <x:v>Plan Design</x:v>
      </x:c>
      <x:c r="N1" s="3" t="str">
        <x:v>Plan Design</x:v>
      </x:c>
      <x:c r="O1" s="3" t="str">
        <x:v>Plan Design</x:v>
      </x:c>
      <x:c r="P1" s="3" t="str">
        <x:v>Plan Design</x:v>
      </x:c>
      <x:c r="Q1" s="3" t="str">
        <x:v>Plan Design</x:v>
      </x:c>
      <x:c r="R1" s="3" t="str">
        <x:v>Plan Design</x:v>
      </x:c>
      <x:c r="S1" s="3" t="str">
        <x:v>Plan Design</x:v>
      </x:c>
    </x:row>
    <x:row r="2" ht="30" customHeight="1">
      <x:c r="A2" s="7" t="str">
        <x:v>Included credits are the segment base demand per customer plus the allocation buffer, rounded up to the nearest 100 credits.</x:v>
      </x:c>
      <x:c r="B2" s="7" t="str">
        <x:v>Included credits are the segment base demand per customer plus the allocation buffer, rounded up to the nearest 100 credits.</x:v>
      </x:c>
      <x:c r="C2" s="7" t="str">
        <x:v>Included credits are the segment base demand per customer plus the allocation buffer, rounded up to the nearest 100 credits.</x:v>
      </x:c>
      <x:c r="D2" s="7" t="str">
        <x:v>Included credits are the segment base demand per customer plus the allocation buffer, rounded up to the nearest 100 credits.</x:v>
      </x:c>
      <x:c r="E2" s="7" t="str">
        <x:v>Included credits are the segment base demand per customer plus the allocation buffer, rounded up to the nearest 100 credits.</x:v>
      </x:c>
      <x:c r="F2" s="7" t="str">
        <x:v>Included credits are the segment base demand per customer plus the allocation buffer, rounded up to the nearest 100 credits.</x:v>
      </x:c>
      <x:c r="G2" s="7" t="str">
        <x:v>Included credits are the segment base demand per customer plus the allocation buffer, rounded up to the nearest 100 credits.</x:v>
      </x:c>
      <x:c r="H2" s="7" t="str">
        <x:v>Included credits are the segment base demand per customer plus the allocation buffer, rounded up to the nearest 100 credits.</x:v>
      </x:c>
      <x:c r="I2" s="7" t="str">
        <x:v>Included credits are the segment base demand per customer plus the allocation buffer, rounded up to the nearest 100 credits.</x:v>
      </x:c>
      <x:c r="J2" s="7" t="str">
        <x:v>Included credits are the segment base demand per customer plus the allocation buffer, rounded up to the nearest 100 credits.</x:v>
      </x:c>
      <x:c r="K2" s="7" t="str">
        <x:v>Included credits are the segment base demand per customer plus the allocation buffer, rounded up to the nearest 100 credits.</x:v>
      </x:c>
      <x:c r="L2" s="7" t="str">
        <x:v>Included credits are the segment base demand per customer plus the allocation buffer, rounded up to the nearest 100 credits.</x:v>
      </x:c>
      <x:c r="M2" s="7" t="str">
        <x:v>Included credits are the segment base demand per customer plus the allocation buffer, rounded up to the nearest 100 credits.</x:v>
      </x:c>
      <x:c r="N2" s="7" t="str">
        <x:v>Included credits are the segment base demand per customer plus the allocation buffer, rounded up to the nearest 100 credits.</x:v>
      </x:c>
      <x:c r="O2" s="7" t="str">
        <x:v>Included credits are the segment base demand per customer plus the allocation buffer, rounded up to the nearest 100 credits.</x:v>
      </x:c>
      <x:c r="P2" s="7" t="str">
        <x:v>Included credits are the segment base demand per customer plus the allocation buffer, rounded up to the nearest 100 credits.</x:v>
      </x:c>
      <x:c r="Q2" s="7" t="str">
        <x:v>Included credits are the segment base demand per customer plus the allocation buffer, rounded up to the nearest 100 credits.</x:v>
      </x:c>
      <x:c r="R2" s="7" t="str">
        <x:v>Included credits are the segment base demand per customer plus the allocation buffer, rounded up to the nearest 100 credits.</x:v>
      </x:c>
      <x:c r="S2" s="7" t="str">
        <x:v>Included credits are the segment base demand per customer plus the allocation buffer, rounded up to the nearest 100 credits.</x:v>
      </x:c>
    </x:row>
    <x:row r="4" ht="24" customHeight="1">
      <x:c r="A4" s="10" t="str">
        <x:v>Subscription Package Economics</x:v>
      </x:c>
      <x:c r="B4" s="10" t="str">
        <x:v>Subscription Package Economics</x:v>
      </x:c>
      <x:c r="C4" s="10" t="str">
        <x:v>Subscription Package Economics</x:v>
      </x:c>
      <x:c r="D4" s="10" t="str">
        <x:v>Subscription Package Economics</x:v>
      </x:c>
      <x:c r="E4" s="10" t="str">
        <x:v>Subscription Package Economics</x:v>
      </x:c>
      <x:c r="F4" s="10" t="str">
        <x:v>Subscription Package Economics</x:v>
      </x:c>
      <x:c r="G4" s="10" t="str">
        <x:v>Subscription Package Economics</x:v>
      </x:c>
      <x:c r="H4" s="10" t="str">
        <x:v>Subscription Package Economics</x:v>
      </x:c>
      <x:c r="I4" s="10" t="str">
        <x:v>Subscription Package Economics</x:v>
      </x:c>
      <x:c r="J4" s="10" t="str">
        <x:v>Subscription Package Economics</x:v>
      </x:c>
      <x:c r="K4" s="10" t="str">
        <x:v>Subscription Package Economics</x:v>
      </x:c>
      <x:c r="L4" s="10" t="str">
        <x:v>Subscription Package Economics</x:v>
      </x:c>
      <x:c r="M4" s="10" t="str">
        <x:v>Subscription Package Economics</x:v>
      </x:c>
      <x:c r="N4" s="10" t="str">
        <x:v>Subscription Package Economics</x:v>
      </x:c>
      <x:c r="O4" s="10" t="str">
        <x:v>Subscription Package Economics</x:v>
      </x:c>
      <x:c r="P4" s="10" t="str">
        <x:v>Subscription Package Economics</x:v>
      </x:c>
      <x:c r="Q4" s="10" t="str">
        <x:v>Subscription Package Economics</x:v>
      </x:c>
      <x:c r="R4" s="10" t="str">
        <x:v>Subscription Package Economics</x:v>
      </x:c>
      <x:c r="S4" s="10" t="str">
        <x:v>Subscription Package Economics</x:v>
      </x:c>
    </x:row>
    <x:row r="5" ht="34" customHeight="1">
      <x:c r="A5" s="54" t="str">
        <x:v>Plan</x:v>
      </x:c>
      <x:c r="B5" s="55" t="str">
        <x:v>Target Segment</x:v>
      </x:c>
      <x:c r="C5" s="55" t="str">
        <x:v>Fixed Platform Fee</x:v>
      </x:c>
      <x:c r="D5" s="55" t="str">
        <x:v>Base Credits / Customer</x:v>
      </x:c>
      <x:c r="E5" s="55" t="str">
        <x:v>Included Credits</x:v>
      </x:c>
      <x:c r="F5" s="55" t="str">
        <x:v>Plan Price</x:v>
      </x:c>
      <x:c r="G5" s="55" t="str">
        <x:v>Realized Price / Credit</x:v>
      </x:c>
      <x:c r="H5" s="55" t="str">
        <x:v>Expected Utilization</x:v>
      </x:c>
      <x:c r="I5" s="55" t="str">
        <x:v>High-Usage Utilization</x:v>
      </x:c>
      <x:c r="J5" s="55" t="str">
        <x:v>Expected Provider Cost</x:v>
      </x:c>
      <x:c r="K5" s="55" t="str">
        <x:v>High Provider Cost</x:v>
      </x:c>
      <x:c r="L5" s="55" t="str">
        <x:v>Effective Usage Price / Consumed Credit</x:v>
      </x:c>
      <x:c r="M5" s="55" t="str">
        <x:v>Plan GM at Expected Use</x:v>
      </x:c>
      <x:c r="N5" s="55" t="str">
        <x:v>High Revenue incl. Top-ups</x:v>
      </x:c>
      <x:c r="O5" s="55" t="str">
        <x:v>Plan GM at High Use</x:v>
      </x:c>
      <x:c r="P5" s="55" t="str">
        <x:v>Top-up Likelihood</x:v>
      </x:c>
      <x:c r="Q5" s="55" t="str">
        <x:v>Unused Credit %</x:v>
      </x:c>
      <x:c r="R5" s="55" t="str">
        <x:v>Top-up Pack Credits</x:v>
      </x:c>
      <x:c r="S5" s="56" t="str">
        <x:v>Top-up Pack Price</x:v>
      </x:c>
    </x:row>
    <x:row r="6">
      <x:c r="A6" s="25" t="str">
        <x:f>'Assumptions'!G13</x:f>
        <x:v>Starter</x:v>
      </x:c>
      <x:c r="B6" s="25" t="str">
        <x:f>'Assumptions'!H13</x:f>
        <x:v>Startup</x:v>
      </x:c>
      <x:c r="C6" s="121" t="n">
        <x:f>'Assumptions'!I13</x:f>
        <x:v>49</x:v>
      </x:c>
      <x:c r="D6" s="28" t="n">
        <x:f>INDEX('Customer Drivers'!$Z$6:$Z$8,MATCH(B6,'Customer Drivers'!$T$6:$T$8,0))/INDEX('Customer Drivers'!$U$6:$U$8,MATCH(B6,'Customer Drivers'!$T$6:$T$8,0))</x:f>
        <x:v>1118.3172</x:v>
      </x:c>
      <x:c r="E6" s="28" t="n">
        <x:f>ROUNDUP(D6*(1+'Assumptions'!$C$11),-2)</x:f>
        <x:v>1400</x:v>
      </x:c>
      <x:c r="F6" s="57" t="n">
        <x:f>C6+E6*'Assumptions'!$C$6</x:f>
        <x:v>63</x:v>
      </x:c>
      <x:c r="G6" s="57" t="n">
        <x:f>IF(E6=0,0,(F6-C6)/E6)</x:f>
        <x:v>0.01</x:v>
      </x:c>
      <x:c r="H6" s="120" t="n">
        <x:f>IF(E6=0,0,D6/E6)</x:f>
        <x:v>0.798798</x:v>
      </x:c>
      <x:c r="I6" s="120" t="n">
        <x:f>IF(E6=0,0,D6*'Assumptions'!$B$19/E6)</x:f>
        <x:v>1.1183172</x:v>
      </x:c>
      <x:c r="J6" s="57" t="n">
        <x:f>INDEX('Customer Drivers'!$AA$6:$AA$8,MATCH(B6,'Customer Drivers'!$T$6:$T$8,0))/INDEX('Customer Drivers'!$U$6:$U$8,MATCH(B6,'Customer Drivers'!$T$6:$T$8,0))</x:f>
        <x:v>1.0530232439999998</x:v>
      </x:c>
      <x:c r="K6" s="57" t="n">
        <x:f>J6*'Assumptions'!$B$19*'Assumptions'!$C$19*'Assumptions'!$D$19</x:f>
        <x:v>2.108152534488</x:v>
      </x:c>
      <x:c r="L6" s="57" t="n">
        <x:f>IF(D6=0,0,(F6-C6)/D6)</x:f>
        <x:v>0.012518809511290715</x:v>
      </x:c>
      <x:c r="M6" s="120" t="n">
        <x:f>IF(F6=0,0,(F6-J6)/F6)</x:f>
        <x:v>0.9832853453333333</x:v>
      </x:c>
      <x:c r="N6" s="57" t="n">
        <x:f>F6+MAX(0,D6*'Assumptions'!$B$19-E6)*'Assumptions'!$C$13</x:f>
        <x:v>64.98772896</x:v>
      </x:c>
      <x:c r="O6" s="120" t="n">
        <x:f>IF(N6=0,0,(N6-K6)/N6)</x:f>
        <x:v>0.9675607600353973</x:v>
      </x:c>
      <x:c r="P6" s="120" t="str">
        <x:f>IF(I6&gt;1,"HIGH",IF(H6&gt;'Assumptions'!$C$12,"MEDIUM","LOW"))</x:f>
        <x:v>HIGH</x:v>
      </x:c>
      <x:c r="Q6" s="120" t="n">
        <x:f>MAX(0,1-H6)</x:f>
        <x:v>0.201202</x:v>
      </x:c>
      <x:c r="R6" s="28" t="n">
        <x:f>'Assumptions'!J13</x:f>
        <x:v>1000</x:v>
      </x:c>
      <x:c r="S6" s="57" t="n">
        <x:f>R6*'Assumptions'!$C$13</x:f>
        <x:v>12</x:v>
      </x:c>
    </x:row>
    <x:row r="7">
      <x:c r="A7" s="26" t="str">
        <x:f>'Assumptions'!G14</x:f>
        <x:v>Growth</x:v>
      </x:c>
      <x:c r="B7" s="26" t="str">
        <x:f>'Assumptions'!H14</x:f>
        <x:v>Mid-Market</x:v>
      </x:c>
      <x:c r="C7" s="29" t="n">
        <x:f>'Assumptions'!I14</x:f>
        <x:v>299</x:v>
      </x:c>
      <x:c r="D7" s="34" t="n">
        <x:f>INDEX('Customer Drivers'!$Z$6:$Z$8,MATCH(B7,'Customer Drivers'!$T$6:$T$8,0))/INDEX('Customer Drivers'!$U$6:$U$8,MATCH(B7,'Customer Drivers'!$T$6:$T$8,0))</x:f>
        <x:v>14553.566576640002</x:v>
      </x:c>
      <x:c r="E7" s="34" t="n">
        <x:f>ROUNDUP(D7*(1+'Assumptions'!$C$11),-2)</x:f>
        <x:v>17500</x:v>
      </x:c>
      <x:c r="F7" s="33" t="n">
        <x:f>C7+E7*'Assumptions'!$C$6</x:f>
        <x:v>474</x:v>
      </x:c>
      <x:c r="G7" s="33" t="n">
        <x:f>IF(E7=0,0,(F7-C7)/E7)</x:f>
        <x:v>0.01</x:v>
      </x:c>
      <x:c r="H7" s="30" t="n">
        <x:f>IF(E7=0,0,D7/E7)</x:f>
        <x:v>0.8316323758080001</x:v>
      </x:c>
      <x:c r="I7" s="30" t="n">
        <x:f>IF(E7=0,0,D7*'Assumptions'!$B$19/E7)</x:f>
        <x:v>1.1642853261312</x:v>
      </x:c>
      <x:c r="J7" s="33" t="n">
        <x:f>INDEX('Customer Drivers'!$AA$6:$AA$8,MATCH(B7,'Customer Drivers'!$T$6:$T$8,0))/INDEX('Customer Drivers'!$U$6:$U$8,MATCH(B7,'Customer Drivers'!$T$6:$T$8,0))</x:f>
        <x:v>13.693540279910401</x:v>
      </x:c>
      <x:c r="K7" s="33" t="n">
        <x:f>J7*'Assumptions'!$B$19*'Assumptions'!$C$19*'Assumptions'!$D$19</x:f>
        <x:v>27.414467640380625</x:v>
      </x:c>
      <x:c r="L7" s="33" t="n">
        <x:f>IF(D7=0,0,(F7-C7)/D7)</x:f>
        <x:v>0.012024543886094101</x:v>
      </x:c>
      <x:c r="M7" s="30" t="n">
        <x:f>IF(F7=0,0,(F7-J7)/F7)</x:f>
        <x:v>0.971110674514957</x:v>
      </x:c>
      <x:c r="N7" s="33" t="n">
        <x:f>F7+MAX(0,D7*'Assumptions'!$B$19-E7)*'Assumptions'!$C$13</x:f>
        <x:v>508.499918487552</x:v>
      </x:c>
      <x:c r="O7" s="30" t="n">
        <x:f>IF(N7=0,0,(N7-K7)/N7)</x:f>
        <x:v>0.9460875672863028</x:v>
      </x:c>
      <x:c r="P7" s="30" t="str">
        <x:f>IF(I7&gt;1,"HIGH",IF(H7&gt;'Assumptions'!$C$12,"MEDIUM","LOW"))</x:f>
        <x:v>HIGH</x:v>
      </x:c>
      <x:c r="Q7" s="30" t="n">
        <x:f>MAX(0,1-H7)</x:f>
        <x:v>0.1683676241919999</x:v>
      </x:c>
      <x:c r="R7" s="34" t="n">
        <x:f>'Assumptions'!J14</x:f>
        <x:v>10000</x:v>
      </x:c>
      <x:c r="S7" s="33" t="n">
        <x:f>R7*'Assumptions'!$C$13</x:f>
        <x:v>120</x:v>
      </x:c>
    </x:row>
    <x:row r="8">
      <x:c r="A8" s="27" t="str">
        <x:f>'Assumptions'!G15</x:f>
        <x:v>Scale</x:v>
      </x:c>
      <x:c r="B8" s="27" t="str">
        <x:f>'Assumptions'!H15</x:f>
        <x:v>Enterprise</x:v>
      </x:c>
      <x:c r="C8" s="122" t="n">
        <x:f>'Assumptions'!I15</x:f>
        <x:v>1999</x:v>
      </x:c>
      <x:c r="D8" s="31" t="n">
        <x:f>INDEX('Customer Drivers'!$Z$6:$Z$8,MATCH(B8,'Customer Drivers'!$T$6:$T$8,0))/INDEX('Customer Drivers'!$U$6:$U$8,MATCH(B8,'Customer Drivers'!$T$6:$T$8,0))</x:f>
        <x:v>152111.99374799998</x:v>
      </x:c>
      <x:c r="E8" s="31" t="n">
        <x:f>ROUNDUP(D8*(1+'Assumptions'!$C$11),-2)</x:f>
        <x:v>182600</x:v>
      </x:c>
      <x:c r="F8" s="102" t="n">
        <x:f>C8+E8*'Assumptions'!$C$6</x:f>
        <x:v>3825</x:v>
      </x:c>
      <x:c r="G8" s="102" t="n">
        <x:f>IF(E8=0,0,(F8-C8)/E8)</x:f>
        <x:v>0.01</x:v>
      </x:c>
      <x:c r="H8" s="35" t="n">
        <x:f>IF(E8=0,0,D8/E8)</x:f>
        <x:v>0.8330339197590361</x:v>
      </x:c>
      <x:c r="I8" s="35" t="n">
        <x:f>IF(E8=0,0,D8*'Assumptions'!$B$19/E8)</x:f>
        <x:v>1.1662474876626503</x:v>
      </x:c>
      <x:c r="J8" s="102" t="n">
        <x:f>INDEX('Customer Drivers'!$AA$6:$AA$8,MATCH(B8,'Customer Drivers'!$T$6:$T$8,0))/INDEX('Customer Drivers'!$U$6:$U$8,MATCH(B8,'Customer Drivers'!$T$6:$T$8,0))</x:f>
        <x:v>144.04096097819996</x:v>
      </x:c>
      <x:c r="K8" s="102" t="n">
        <x:f>J8*'Assumptions'!$B$19*'Assumptions'!$C$19*'Assumptions'!$D$19</x:f>
        <x:v>288.37000387835633</x:v>
      </x:c>
      <x:c r="L8" s="102" t="n">
        <x:f>IF(D8=0,0,(F8-C8)/D8)</x:f>
        <x:v>0.012004313105152558</x:v>
      </x:c>
      <x:c r="M8" s="35" t="n">
        <x:f>IF(F8=0,0,(F8-J8)/F8)</x:f>
        <x:v>0.962342232424</x:v>
      </x:c>
      <x:c r="N8" s="102" t="n">
        <x:f>F8+MAX(0,D8*'Assumptions'!$B$19-E8)*'Assumptions'!$C$13</x:f>
        <x:v>4189.2814949664</x:v>
      </x:c>
      <x:c r="O8" s="35" t="n">
        <x:f>IF(N8=0,0,(N8-K8)/N8)</x:f>
        <x:v>0.9311648061308735</x:v>
      </x:c>
      <x:c r="P8" s="35" t="str">
        <x:f>IF(I8&gt;1,"HIGH",IF(H8&gt;'Assumptions'!$C$12,"MEDIUM","LOW"))</x:f>
        <x:v>HIGH</x:v>
      </x:c>
      <x:c r="Q8" s="35" t="n">
        <x:f>MAX(0,1-H8)</x:f>
        <x:v>0.16696608024096393</x:v>
      </x:c>
      <x:c r="R8" s="31" t="n">
        <x:f>'Assumptions'!J15</x:f>
        <x:v>50000</x:v>
      </x:c>
      <x:c r="S8" s="102" t="n">
        <x:f>R8*'Assumptions'!$C$13</x:f>
        <x:v>600</x:v>
      </x:c>
    </x:row>
    <x:row r="11" ht="24" customHeight="1">
      <x:c r="A11" s="10" t="str">
        <x:v>Plan Logic Notes</x:v>
      </x:c>
      <x:c r="B11" s="10" t="str">
        <x:v>Plan Logic Notes</x:v>
      </x:c>
      <x:c r="C11" s="10" t="str">
        <x:v>Plan Logic Notes</x:v>
      </x:c>
      <x:c r="D11" s="10" t="str">
        <x:v>Plan Logic Notes</x:v>
      </x:c>
      <x:c r="E11" s="10" t="str">
        <x:v>Plan Logic Notes</x:v>
      </x:c>
      <x:c r="F11" s="10" t="str">
        <x:v>Plan Logic Notes</x:v>
      </x:c>
      <x:c r="G11" s="10" t="str">
        <x:v>Plan Logic Notes</x:v>
      </x:c>
      <x:c r="H11" s="10" t="str">
        <x:v>Plan Logic Notes</x:v>
      </x:c>
      <x:c r="I11" s="10" t="str">
        <x:v>Plan Logic Notes</x:v>
      </x:c>
      <x:c r="J11" s="10" t="str">
        <x:v>Plan Logic Notes</x:v>
      </x:c>
      <x:c r="K11" s="10" t="str">
        <x:v>Plan Logic Notes</x:v>
      </x:c>
      <x:c r="L11" s="10" t="str">
        <x:v>Plan Logic Notes</x:v>
      </x:c>
      <x:c r="M11" s="10" t="str">
        <x:v>Plan Logic Notes</x:v>
      </x:c>
      <x:c r="N11" s="10" t="str">
        <x:v>Plan Logic Notes</x:v>
      </x:c>
      <x:c r="O11" s="10" t="str">
        <x:v>Plan Logic Notes</x:v>
      </x:c>
      <x:c r="P11" s="10" t="str">
        <x:v>Plan Logic Notes</x:v>
      </x:c>
      <x:c r="Q11" s="10" t="str">
        <x:v>Plan Logic Notes</x:v>
      </x:c>
      <x:c r="R11" s="10" t="str">
        <x:v>Plan Logic Notes</x:v>
      </x:c>
      <x:c r="S11" s="10" t="str">
        <x:v>Plan Logic Notes</x:v>
      </x:c>
    </x:row>
    <x:row r="12" ht="25" customHeight="1">
      <x:c r="A12" s="64" t="str">
        <x:v>Realized price per credit = (plan price − fixed platform fee) / included credits.</x:v>
      </x:c>
      <x:c r="B12" s="64"/>
      <x:c r="C12" s="64"/>
      <x:c r="D12" s="64"/>
      <x:c r="E12" s="64"/>
      <x:c r="F12" s="64"/>
      <x:c r="G12" s="64"/>
      <x:c r="H12" s="64"/>
      <x:c r="I12" s="64"/>
      <x:c r="J12" s="64"/>
      <x:c r="K12" s="64"/>
      <x:c r="L12" s="64"/>
      <x:c r="M12" s="64"/>
      <x:c r="N12" s="64"/>
      <x:c r="O12" s="64"/>
      <x:c r="P12" s="64"/>
      <x:c r="Q12" s="64"/>
      <x:c r="R12" s="64"/>
      <x:c r="S12" s="64"/>
    </x:row>
    <x:row r="13" ht="25" customHeight="1">
      <x:c r="A13" s="64" t="str">
        <x:v>Expected utilization uses base segment credits/customer; high utilization applies the high scenario volume multiplier.</x:v>
      </x:c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  <x:c r="L13" s="64"/>
      <x:c r="M13" s="64"/>
      <x:c r="N13" s="64"/>
      <x:c r="O13" s="64"/>
      <x:c r="P13" s="64"/>
      <x:c r="Q13" s="64"/>
      <x:c r="R13" s="64"/>
      <x:c r="S13" s="64"/>
    </x:row>
    <x:row r="14" ht="25" customHeight="1">
      <x:c r="A14" s="64" t="str">
        <x:v>High-use revenue includes top-up credits at the top-up price per credit; high provider cost also applies token and cost multipliers.</x:v>
      </x:c>
      <x:c r="B14" s="64"/>
      <x:c r="C14" s="64"/>
      <x:c r="D14" s="64"/>
      <x:c r="E14" s="64"/>
      <x:c r="F14" s="64"/>
      <x:c r="G14" s="64"/>
      <x:c r="H14" s="64"/>
      <x:c r="I14" s="64"/>
      <x:c r="J14" s="64"/>
      <x:c r="K14" s="64"/>
      <x:c r="L14" s="64"/>
      <x:c r="M14" s="64"/>
      <x:c r="N14" s="64"/>
      <x:c r="O14" s="64"/>
      <x:c r="P14" s="64"/>
      <x:c r="Q14" s="64"/>
      <x:c r="R14" s="64"/>
      <x:c r="S14" s="64"/>
    </x:row>
    <x:row r="15" ht="25" customHeight="1">
      <x:c r="A15" s="64" t="str">
        <x:v>Unused credits are disclosed. They are not used to offset weak action-level economics or feasibility failures.</x:v>
      </x:c>
      <x:c r="B15" s="64"/>
      <x:c r="C15" s="64"/>
      <x:c r="D15" s="64"/>
      <x:c r="E15" s="64"/>
      <x:c r="F15" s="64"/>
      <x:c r="G15" s="64"/>
      <x:c r="H15" s="64"/>
      <x:c r="I15" s="64"/>
      <x:c r="J15" s="64"/>
      <x:c r="K15" s="64"/>
      <x:c r="L15" s="64"/>
      <x:c r="M15" s="64"/>
      <x:c r="N15" s="64"/>
      <x:c r="O15" s="64"/>
      <x:c r="P15" s="64"/>
      <x:c r="Q15" s="64"/>
      <x:c r="R15" s="64"/>
      <x:c r="S15" s="64"/>
    </x:row>
  </x:sheetData>
  <x:mergeCells>
    <x:mergeCell ref="A1:S1"/>
    <x:mergeCell ref="A2:S2"/>
    <x:mergeCell ref="A4:S4"/>
    <x:mergeCell ref="A11:S11"/>
    <x:mergeCell ref="A12:S12"/>
    <x:mergeCell ref="A13:S13"/>
    <x:mergeCell ref="A14:S14"/>
    <x:mergeCell ref="A15:S15"/>
  </x:mergeCells>
  <x:conditionalFormatting sqref="P6:P8">
    <x:cfRule type="containsText" dxfId="12" priority="1" operator="containsText" text="HIGH"/>
    <x:cfRule type="containsText" dxfId="13" priority="2" operator="containsText" text="MEDIUM"/>
    <x:cfRule type="containsText" dxfId="14" priority="3" operator="containsText" text="LOW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15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18" hidden="0" customWidth="1"/>
    <x:col min="16" max="16" width="18" hidden="0" customWidth="1"/>
  </x:cols>
  <x:sheetData>
    <x:row r="1" ht="34" customHeight="1">
      <x:c r="A1" s="3" t="str">
        <x:v>Calibration</x:v>
      </x:c>
      <x:c r="B1" s="3" t="str">
        <x:v>Calibration</x:v>
      </x:c>
      <x:c r="C1" s="3" t="str">
        <x:v>Calibration</x:v>
      </x:c>
      <x:c r="D1" s="3" t="str">
        <x:v>Calibration</x:v>
      </x:c>
      <x:c r="E1" s="3" t="str">
        <x:v>Calibration</x:v>
      </x:c>
      <x:c r="F1" s="3" t="str">
        <x:v>Calibration</x:v>
      </x:c>
      <x:c r="G1" s="3" t="str">
        <x:v>Calibration</x:v>
      </x:c>
      <x:c r="H1" s="3" t="str">
        <x:v>Calibration</x:v>
      </x:c>
      <x:c r="I1" s="3" t="str">
        <x:v>Calibration</x:v>
      </x:c>
      <x:c r="J1" s="3" t="str">
        <x:v>Calibration</x:v>
      </x:c>
      <x:c r="K1" s="3" t="str">
        <x:v>Calibration</x:v>
      </x:c>
      <x:c r="L1" s="3" t="str">
        <x:v>Calibration</x:v>
      </x:c>
      <x:c r="M1" s="3" t="str">
        <x:v>Calibration</x:v>
      </x:c>
      <x:c r="N1" s="3" t="str">
        <x:v>Calibration</x:v>
      </x:c>
      <x:c r="O1" s="3" t="str">
        <x:v>Calibration</x:v>
      </x:c>
      <x:c r="P1" s="3" t="str">
        <x:v>Calibration</x:v>
      </x:c>
    </x:row>
    <x:row r="2" ht="30" customHeight="1">
      <x:c r="A2" s="7" t="str">
        <x:v>Paste production actuals into yellow cells. Estimated usage and costs link to the current base model; variance and recalibrated cost-floor credits update automatically.</x:v>
      </x:c>
      <x:c r="B2" s="7" t="str">
        <x:v>Paste production actuals into yellow cells. Estimated usage and costs link to the current base model; variance and recalibrated cost-floor credits update automatically.</x:v>
      </x:c>
      <x:c r="C2" s="7" t="str">
        <x:v>Paste production actuals into yellow cells. Estimated usage and costs link to the current base model; variance and recalibrated cost-floor credits update automatically.</x:v>
      </x:c>
      <x:c r="D2" s="7" t="str">
        <x:v>Paste production actuals into yellow cells. Estimated usage and costs link to the current base model; variance and recalibrated cost-floor credits update automatically.</x:v>
      </x:c>
      <x:c r="E2" s="7" t="str">
        <x:v>Paste production actuals into yellow cells. Estimated usage and costs link to the current base model; variance and recalibrated cost-floor credits update automatically.</x:v>
      </x:c>
      <x:c r="F2" s="7" t="str">
        <x:v>Paste production actuals into yellow cells. Estimated usage and costs link to the current base model; variance and recalibrated cost-floor credits update automatically.</x:v>
      </x:c>
      <x:c r="G2" s="7" t="str">
        <x:v>Paste production actuals into yellow cells. Estimated usage and costs link to the current base model; variance and recalibrated cost-floor credits update automatically.</x:v>
      </x:c>
      <x:c r="H2" s="7" t="str">
        <x:v>Paste production actuals into yellow cells. Estimated usage and costs link to the current base model; variance and recalibrated cost-floor credits update automatically.</x:v>
      </x:c>
      <x:c r="I2" s="7" t="str">
        <x:v>Paste production actuals into yellow cells. Estimated usage and costs link to the current base model; variance and recalibrated cost-floor credits update automatically.</x:v>
      </x:c>
      <x:c r="J2" s="7" t="str">
        <x:v>Paste production actuals into yellow cells. Estimated usage and costs link to the current base model; variance and recalibrated cost-floor credits update automatically.</x:v>
      </x:c>
      <x:c r="K2" s="7" t="str">
        <x:v>Paste production actuals into yellow cells. Estimated usage and costs link to the current base model; variance and recalibrated cost-floor credits update automatically.</x:v>
      </x:c>
      <x:c r="L2" s="7" t="str">
        <x:v>Paste production actuals into yellow cells. Estimated usage and costs link to the current base model; variance and recalibrated cost-floor credits update automatically.</x:v>
      </x:c>
      <x:c r="M2" s="7" t="str">
        <x:v>Paste production actuals into yellow cells. Estimated usage and costs link to the current base model; variance and recalibrated cost-floor credits update automatically.</x:v>
      </x:c>
      <x:c r="N2" s="7" t="str">
        <x:v>Paste production actuals into yellow cells. Estimated usage and costs link to the current base model; variance and recalibrated cost-floor credits update automatically.</x:v>
      </x:c>
      <x:c r="O2" s="7" t="str">
        <x:v>Paste production actuals into yellow cells. Estimated usage and costs link to the current base model; variance and recalibrated cost-floor credits update automatically.</x:v>
      </x:c>
      <x:c r="P2" s="7" t="str">
        <x:v>Paste production actuals into yellow cells. Estimated usage and costs link to the current base model; variance and recalibrated cost-floor credits update automatically.</x:v>
      </x:c>
    </x:row>
    <x:row r="4" ht="24" customHeight="1">
      <x:c r="A4" s="10" t="str">
        <x:v>Estimated vs. Actual Production Usage and Cost</x:v>
      </x:c>
      <x:c r="B4" s="10" t="str">
        <x:v>Estimated vs. Actual Production Usage and Cost</x:v>
      </x:c>
      <x:c r="C4" s="10" t="str">
        <x:v>Estimated vs. Actual Production Usage and Cost</x:v>
      </x:c>
      <x:c r="D4" s="10" t="str">
        <x:v>Estimated vs. Actual Production Usage and Cost</x:v>
      </x:c>
      <x:c r="E4" s="10" t="str">
        <x:v>Estimated vs. Actual Production Usage and Cost</x:v>
      </x:c>
      <x:c r="F4" s="10" t="str">
        <x:v>Estimated vs. Actual Production Usage and Cost</x:v>
      </x:c>
      <x:c r="G4" s="10" t="str">
        <x:v>Estimated vs. Actual Production Usage and Cost</x:v>
      </x:c>
      <x:c r="H4" s="10" t="str">
        <x:v>Estimated vs. Actual Production Usage and Cost</x:v>
      </x:c>
      <x:c r="I4" s="10" t="str">
        <x:v>Estimated vs. Actual Production Usage and Cost</x:v>
      </x:c>
      <x:c r="J4" s="10" t="str">
        <x:v>Estimated vs. Actual Production Usage and Cost</x:v>
      </x:c>
      <x:c r="K4" s="10" t="str">
        <x:v>Estimated vs. Actual Production Usage and Cost</x:v>
      </x:c>
      <x:c r="L4" s="10" t="str">
        <x:v>Estimated vs. Actual Production Usage and Cost</x:v>
      </x:c>
      <x:c r="M4" s="10" t="str">
        <x:v>Estimated vs. Actual Production Usage and Cost</x:v>
      </x:c>
      <x:c r="N4" s="10" t="str">
        <x:v>Estimated vs. Actual Production Usage and Cost</x:v>
      </x:c>
      <x:c r="O4" s="10" t="str">
        <x:v>Estimated vs. Actual Production Usage and Cost</x:v>
      </x:c>
      <x:c r="P4" s="10" t="str">
        <x:v>Estimated vs. Actual Production Usage and Cost</x:v>
      </x:c>
    </x:row>
    <x:row r="5" ht="34" customHeight="1">
      <x:c r="A5" s="54" t="str">
        <x:v>Metric</x:v>
      </x:c>
      <x:c r="B5" s="55" t="str">
        <x:v>Estimated Monthly Actions</x:v>
      </x:c>
      <x:c r="C5" s="55" t="str">
        <x:v>Actual Monthly Actions</x:v>
      </x:c>
      <x:c r="D5" s="55" t="str">
        <x:v>Action Variance</x:v>
      </x:c>
      <x:c r="E5" s="55" t="str">
        <x:v>Action Variance %</x:v>
      </x:c>
      <x:c r="F5" s="55" t="str">
        <x:v>Estimated Unit Cost</x:v>
      </x:c>
      <x:c r="G5" s="55" t="str">
        <x:v>Actual Provider Cost</x:v>
      </x:c>
      <x:c r="H5" s="55" t="str">
        <x:v>Actual Unit Cost</x:v>
      </x:c>
      <x:c r="I5" s="55" t="str">
        <x:v>Unit Cost Variance %</x:v>
      </x:c>
      <x:c r="J5" s="55" t="str">
        <x:v>Estimated Total Cost</x:v>
      </x:c>
      <x:c r="K5" s="55" t="str">
        <x:v>Total Cost Variance</x:v>
      </x:c>
      <x:c r="L5" s="55" t="str">
        <x:v>Current Credit Weight</x:v>
      </x:c>
      <x:c r="M5" s="55" t="str">
        <x:v>Recalibrated Min Cost Credits</x:v>
      </x:c>
      <x:c r="N5" s="55" t="str">
        <x:v>Calibration Status</x:v>
      </x:c>
      <x:c r="O5" s="55" t="str">
        <x:v>Actual Avg Input Tokens</x:v>
      </x:c>
      <x:c r="P5" s="56" t="str">
        <x:v>Actual Avg Output Tokens</x:v>
      </x:c>
    </x:row>
    <x:row r="6">
      <x:c r="A6" s="18" t="str">
        <x:v>agent.summarize</x:v>
      </x:c>
      <x:c r="B6" s="28" t="n">
        <x:f>SUMIF('Customer Drivers'!$B$6:$B$29,A6,'Customer Drivers'!$L$6:$L$29)</x:f>
        <x:v>26419.642672799997</x:v>
      </x:c>
      <x:c r="C6" s="80"/>
      <x:c r="D6" s="100" t="str">
        <x:f>IF(C6=0,"",C6-B6)</x:f>
      </x:c>
      <x:c r="E6" s="103" t="str">
        <x:f>IF(C6=0,"",D6/B6)</x:f>
      </x:c>
      <x:c r="F6" s="95" t="n">
        <x:f>INDEX('Metric Weights'!$H$6:$H$13,MATCH(A6,'Metric Weights'!$A$6:$A$13,0))</x:f>
        <x:v>0.004</x:v>
      </x:c>
      <x:c r="G6" s="93"/>
      <x:c r="H6" s="58" t="str">
        <x:f>IF(C6=0,"",G6/C6)</x:f>
      </x:c>
      <x:c r="I6" s="103" t="str">
        <x:f>IF(H6="","",H6/F6-1)</x:f>
      </x:c>
      <x:c r="J6" s="82" t="n">
        <x:f>B6*F6</x:f>
        <x:v>105.6785706912</x:v>
      </x:c>
      <x:c r="K6" s="82" t="str">
        <x:f>IF(G6=0,"",G6-J6)</x:f>
      </x:c>
      <x:c r="L6" s="28" t="n">
        <x:f>INDEX('Metric Weights'!$M$6:$M$13,MATCH(A6,'Metric Weights'!$A$6:$A$13,0))</x:f>
        <x:v>4</x:v>
      </x:c>
      <x:c r="M6" s="28" t="str">
        <x:f>IF(H6="","",CEILING(H6/('Assumptions'!$C$6*(1-'Assumptions'!$C$7)),'Assumptions'!$C$10))</x:f>
      </x:c>
      <x:c r="N6" s="18" t="str">
        <x:f>IF(OR(C6=0,G6=0),"AWAITING DATA",IF(M6&gt;L6,"REVIEW WEIGHT","CALIBRATED"))</x:f>
        <x:v>AWAITING DATA</x:v>
      </x:c>
      <x:c r="O6" s="80"/>
      <x:c r="P6" s="80"/>
    </x:row>
    <x:row r="7">
      <x:c r="A7" s="19" t="str">
        <x:v>agent.deep_research</x:v>
      </x:c>
      <x:c r="B7" s="34" t="n">
        <x:f>SUMIF('Customer Drivers'!$B$6:$B$29,A7,'Customer Drivers'!$L$6:$L$29)</x:f>
        <x:v>16499.71182912</x:v>
      </x:c>
      <x:c r="C7" s="73"/>
      <x:c r="D7" s="59" t="str">
        <x:f>IF(C7=0,"",C7-B7)</x:f>
      </x:c>
      <x:c r="E7" s="104" t="str">
        <x:f>IF(C7=0,"",D7/B7)</x:f>
      </x:c>
      <x:c r="F7" s="97" t="n">
        <x:f>INDEX('Metric Weights'!$H$6:$H$13,MATCH(A7,'Metric Weights'!$A$6:$A$13,0))</x:f>
        <x:v>0.020000000000000004</x:v>
      </x:c>
      <x:c r="G7" s="94"/>
      <x:c r="H7" s="96" t="str">
        <x:f>IF(C7=0,"",G7/C7)</x:f>
      </x:c>
      <x:c r="I7" s="104" t="str">
        <x:f>IF(H7="","",H7/F7-1)</x:f>
      </x:c>
      <x:c r="J7" s="83" t="n">
        <x:f>B7*F7</x:f>
        <x:v>329.99423658240005</x:v>
      </x:c>
      <x:c r="K7" s="83" t="str">
        <x:f>IF(G7=0,"",G7-J7)</x:f>
      </x:c>
      <x:c r="L7" s="34" t="n">
        <x:f>INDEX('Metric Weights'!$M$6:$M$13,MATCH(A7,'Metric Weights'!$A$6:$A$13,0))</x:f>
        <x:v>20</x:v>
      </x:c>
      <x:c r="M7" s="34" t="str">
        <x:f>IF(H7="","",CEILING(H7/('Assumptions'!$C$6*(1-'Assumptions'!$C$7)),'Assumptions'!$C$10))</x:f>
      </x:c>
      <x:c r="N7" s="19" t="str">
        <x:f>IF(OR(C7=0,G7=0),"AWAITING DATA",IF(M7&gt;L7,"REVIEW WEIGHT","CALIBRATED"))</x:f>
        <x:v>AWAITING DATA</x:v>
      </x:c>
      <x:c r="O7" s="73"/>
      <x:c r="P7" s="73"/>
    </x:row>
    <x:row r="8">
      <x:c r="A8" s="19" t="str">
        <x:v>agent.classify</x:v>
      </x:c>
      <x:c r="B8" s="34" t="n">
        <x:f>SUMIF('Customer Drivers'!$B$6:$B$29,A8,'Customer Drivers'!$L$6:$L$29)</x:f>
        <x:v>17757.368640959998</x:v>
      </x:c>
      <x:c r="C8" s="73"/>
      <x:c r="D8" s="59" t="str">
        <x:f>IF(C8=0,"",C8-B8)</x:f>
      </x:c>
      <x:c r="E8" s="104" t="str">
        <x:f>IF(C8=0,"",D8/B8)</x:f>
      </x:c>
      <x:c r="F8" s="97" t="n">
        <x:f>INDEX('Metric Weights'!$H$6:$H$13,MATCH(A8,'Metric Weights'!$A$6:$A$13,0))</x:f>
        <x:v>0.0011</x:v>
      </x:c>
      <x:c r="G8" s="94"/>
      <x:c r="H8" s="96" t="str">
        <x:f>IF(C8=0,"",G8/C8)</x:f>
      </x:c>
      <x:c r="I8" s="104" t="str">
        <x:f>IF(H8="","",H8/F8-1)</x:f>
      </x:c>
      <x:c r="J8" s="83" t="n">
        <x:f>B8*F8</x:f>
        <x:v>19.533105505056</x:v>
      </x:c>
      <x:c r="K8" s="83" t="str">
        <x:f>IF(G8=0,"",G8-J8)</x:f>
      </x:c>
      <x:c r="L8" s="34" t="n">
        <x:f>INDEX('Metric Weights'!$M$6:$M$13,MATCH(A8,'Metric Weights'!$A$6:$A$13,0))</x:f>
        <x:v>1</x:v>
      </x:c>
      <x:c r="M8" s="34" t="str">
        <x:f>IF(H8="","",CEILING(H8/('Assumptions'!$C$6*(1-'Assumptions'!$C$7)),'Assumptions'!$C$10))</x:f>
      </x:c>
      <x:c r="N8" s="19" t="str">
        <x:f>IF(OR(C8=0,G8=0),"AWAITING DATA",IF(M8&gt;L8,"REVIEW WEIGHT","CALIBRATED"))</x:f>
        <x:v>AWAITING DATA</x:v>
      </x:c>
      <x:c r="O8" s="73"/>
      <x:c r="P8" s="73"/>
    </x:row>
    <x:row r="9">
      <x:c r="A9" s="19" t="str">
        <x:v>agent.extract</x:v>
      </x:c>
      <x:c r="B9" s="34" t="n">
        <x:f>SUMIF('Customer Drivers'!$B$6:$B$29,A9,'Customer Drivers'!$L$6:$L$29)</x:f>
        <x:v>20930.77602096</x:v>
      </x:c>
      <x:c r="C9" s="73"/>
      <x:c r="D9" s="59" t="str">
        <x:f>IF(C9=0,"",C9-B9)</x:f>
      </x:c>
      <x:c r="E9" s="104" t="str">
        <x:f>IF(C9=0,"",D9/B9)</x:f>
      </x:c>
      <x:c r="F9" s="97" t="n">
        <x:f>INDEX('Metric Weights'!$H$6:$H$13,MATCH(A9,'Metric Weights'!$A$6:$A$13,0))</x:f>
        <x:v>0.00355</x:v>
      </x:c>
      <x:c r="G9" s="94"/>
      <x:c r="H9" s="96" t="str">
        <x:f>IF(C9=0,"",G9/C9)</x:f>
      </x:c>
      <x:c r="I9" s="104" t="str">
        <x:f>IF(H9="","",H9/F9-1)</x:f>
      </x:c>
      <x:c r="J9" s="83" t="n">
        <x:f>B9*F9</x:f>
        <x:v>74.304254874408</x:v>
      </x:c>
      <x:c r="K9" s="83" t="str">
        <x:f>IF(G9=0,"",G9-J9)</x:f>
      </x:c>
      <x:c r="L9" s="34" t="n">
        <x:f>INDEX('Metric Weights'!$M$6:$M$13,MATCH(A9,'Metric Weights'!$A$6:$A$13,0))</x:f>
        <x:v>4</x:v>
      </x:c>
      <x:c r="M9" s="34" t="str">
        <x:f>IF(H9="","",CEILING(H9/('Assumptions'!$C$6*(1-'Assumptions'!$C$7)),'Assumptions'!$C$10))</x:f>
      </x:c>
      <x:c r="N9" s="19" t="str">
        <x:f>IF(OR(C9=0,G9=0),"AWAITING DATA",IF(M9&gt;L9,"REVIEW WEIGHT","CALIBRATED"))</x:f>
        <x:v>AWAITING DATA</x:v>
      </x:c>
      <x:c r="O9" s="73"/>
      <x:c r="P9" s="73"/>
    </x:row>
    <x:row r="10">
      <x:c r="A10" s="19" t="str">
        <x:v>agent.draft_email</x:v>
      </x:c>
      <x:c r="B10" s="34" t="n">
        <x:f>SUMIF('Customer Drivers'!$B$6:$B$29,A10,'Customer Drivers'!$L$6:$L$29)</x:f>
        <x:v>13531.2425664</x:v>
      </x:c>
      <x:c r="C10" s="73"/>
      <x:c r="D10" s="59" t="str">
        <x:f>IF(C10=0,"",C10-B10)</x:f>
      </x:c>
      <x:c r="E10" s="104" t="str">
        <x:f>IF(C10=0,"",D10/B10)</x:f>
      </x:c>
      <x:c r="F10" s="97" t="n">
        <x:f>INDEX('Metric Weights'!$H$6:$H$13,MATCH(A10,'Metric Weights'!$A$6:$A$13,0))</x:f>
        <x:v>0.00455</x:v>
      </x:c>
      <x:c r="G10" s="94"/>
      <x:c r="H10" s="96" t="str">
        <x:f>IF(C10=0,"",G10/C10)</x:f>
      </x:c>
      <x:c r="I10" s="104" t="str">
        <x:f>IF(H10="","",H10/F10-1)</x:f>
      </x:c>
      <x:c r="J10" s="83" t="n">
        <x:f>B10*F10</x:f>
        <x:v>61.567153677120004</x:v>
      </x:c>
      <x:c r="K10" s="83" t="str">
        <x:f>IF(G10=0,"",G10-J10)</x:f>
      </x:c>
      <x:c r="L10" s="34" t="n">
        <x:f>INDEX('Metric Weights'!$M$6:$M$13,MATCH(A10,'Metric Weights'!$A$6:$A$13,0))</x:f>
        <x:v>6</x:v>
      </x:c>
      <x:c r="M10" s="34" t="str">
        <x:f>IF(H10="","",CEILING(H10/('Assumptions'!$C$6*(1-'Assumptions'!$C$7)),'Assumptions'!$C$10))</x:f>
      </x:c>
      <x:c r="N10" s="19" t="str">
        <x:f>IF(OR(C10=0,G10=0),"AWAITING DATA",IF(M10&gt;L10,"REVIEW WEIGHT","CALIBRATED"))</x:f>
        <x:v>AWAITING DATA</x:v>
      </x:c>
      <x:c r="O10" s="73"/>
      <x:c r="P10" s="73"/>
    </x:row>
    <x:row r="11">
      <x:c r="A11" s="19" t="str">
        <x:v>agent.compare</x:v>
      </x:c>
      <x:c r="B11" s="34" t="n">
        <x:f>SUMIF('Customer Drivers'!$B$6:$B$29,A11,'Customer Drivers'!$L$6:$L$29)</x:f>
        <x:v>20725.837903679996</x:v>
      </x:c>
      <x:c r="C11" s="73"/>
      <x:c r="D11" s="59" t="str">
        <x:f>IF(C11=0,"",C11-B11)</x:f>
      </x:c>
      <x:c r="E11" s="104" t="str">
        <x:f>IF(C11=0,"",D11/B11)</x:f>
      </x:c>
      <x:c r="F11" s="97" t="n">
        <x:f>INDEX('Metric Weights'!$H$6:$H$13,MATCH(A11,'Metric Weights'!$A$6:$A$13,0))</x:f>
        <x:v>0.007300000000000001</x:v>
      </x:c>
      <x:c r="G11" s="94"/>
      <x:c r="H11" s="96" t="str">
        <x:f>IF(C11=0,"",G11/C11)</x:f>
      </x:c>
      <x:c r="I11" s="104" t="str">
        <x:f>IF(H11="","",H11/F11-1)</x:f>
      </x:c>
      <x:c r="J11" s="83" t="n">
        <x:f>B11*F11</x:f>
        <x:v>151.298616696864</x:v>
      </x:c>
      <x:c r="K11" s="83" t="str">
        <x:f>IF(G11=0,"",G11-J11)</x:f>
      </x:c>
      <x:c r="L11" s="34" t="n">
        <x:f>INDEX('Metric Weights'!$M$6:$M$13,MATCH(A11,'Metric Weights'!$A$6:$A$13,0))</x:f>
        <x:v>8</x:v>
      </x:c>
      <x:c r="M11" s="34" t="str">
        <x:f>IF(H11="","",CEILING(H11/('Assumptions'!$C$6*(1-'Assumptions'!$C$7)),'Assumptions'!$C$10))</x:f>
      </x:c>
      <x:c r="N11" s="19" t="str">
        <x:f>IF(OR(C11=0,G11=0),"AWAITING DATA",IF(M11&gt;L11,"REVIEW WEIGHT","CALIBRATED"))</x:f>
        <x:v>AWAITING DATA</x:v>
      </x:c>
      <x:c r="O11" s="73"/>
      <x:c r="P11" s="73"/>
    </x:row>
    <x:row r="12">
      <x:c r="A12" s="19" t="str">
        <x:v>agent.monitor_alert</x:v>
      </x:c>
      <x:c r="B12" s="34" t="n">
        <x:f>SUMIF('Customer Drivers'!$B$6:$B$29,A12,'Customer Drivers'!$L$6:$L$29)</x:f>
        <x:v>21949.624363679995</x:v>
      </x:c>
      <x:c r="C12" s="73"/>
      <x:c r="D12" s="59" t="str">
        <x:f>IF(C12=0,"",C12-B12)</x:f>
      </x:c>
      <x:c r="E12" s="104" t="str">
        <x:f>IF(C12=0,"",D12/B12)</x:f>
      </x:c>
      <x:c r="F12" s="97" t="n">
        <x:f>INDEX('Metric Weights'!$H$6:$H$13,MATCH(A12,'Metric Weights'!$A$6:$A$13,0))</x:f>
        <x:v>0.0019399999999999999</x:v>
      </x:c>
      <x:c r="G12" s="94"/>
      <x:c r="H12" s="96" t="str">
        <x:f>IF(C12=0,"",G12/C12)</x:f>
      </x:c>
      <x:c r="I12" s="104" t="str">
        <x:f>IF(H12="","",H12/F12-1)</x:f>
      </x:c>
      <x:c r="J12" s="83" t="n">
        <x:f>B12*F12</x:f>
        <x:v>42.58227126553919</x:v>
      </x:c>
      <x:c r="K12" s="83" t="str">
        <x:f>IF(G12=0,"",G12-J12)</x:f>
      </x:c>
      <x:c r="L12" s="34" t="n">
        <x:f>INDEX('Metric Weights'!$M$6:$M$13,MATCH(A12,'Metric Weights'!$A$6:$A$13,0))</x:f>
        <x:v>1</x:v>
      </x:c>
      <x:c r="M12" s="34" t="str">
        <x:f>IF(H12="","",CEILING(H12/('Assumptions'!$C$6*(1-'Assumptions'!$C$7)),'Assumptions'!$C$10))</x:f>
      </x:c>
      <x:c r="N12" s="19" t="str">
        <x:f>IF(OR(C12=0,G12=0),"AWAITING DATA",IF(M12&gt;L12,"REVIEW WEIGHT","CALIBRATED"))</x:f>
        <x:v>AWAITING DATA</x:v>
      </x:c>
      <x:c r="O12" s="73"/>
      <x:c r="P12" s="73"/>
    </x:row>
    <x:row r="13">
      <x:c r="A13" s="21" t="str">
        <x:v>agent.generate_report</x:v>
      </x:c>
      <x:c r="B13" s="31" t="n">
        <x:f>SUMIF('Customer Drivers'!$B$6:$B$29,A13,'Customer Drivers'!$L$6:$L$29)</x:f>
        <x:v>18654.2708664</x:v>
      </x:c>
      <x:c r="C13" s="81"/>
      <x:c r="D13" s="101" t="str">
        <x:f>IF(C13=0,"",C13-B13)</x:f>
      </x:c>
      <x:c r="E13" s="62" t="str">
        <x:f>IF(C13=0,"",D13/B13)</x:f>
      </x:c>
      <x:c r="F13" s="99" t="n">
        <x:f>INDEX('Metric Weights'!$H$6:$H$13,MATCH(A13,'Metric Weights'!$A$6:$A$13,0))</x:f>
        <x:v>0.012</x:v>
      </x:c>
      <x:c r="G13" s="74"/>
      <x:c r="H13" s="98" t="str">
        <x:f>IF(C13=0,"",G13/C13)</x:f>
      </x:c>
      <x:c r="I13" s="62" t="str">
        <x:f>IF(H13="","",H13/F13-1)</x:f>
      </x:c>
      <x:c r="J13" s="84" t="n">
        <x:f>B13*F13</x:f>
        <x:v>223.8512503968</x:v>
      </x:c>
      <x:c r="K13" s="84" t="str">
        <x:f>IF(G13=0,"",G13-J13)</x:f>
      </x:c>
      <x:c r="L13" s="31" t="n">
        <x:f>INDEX('Metric Weights'!$M$6:$M$13,MATCH(A13,'Metric Weights'!$A$6:$A$13,0))</x:f>
        <x:v>14</x:v>
      </x:c>
      <x:c r="M13" s="31" t="str">
        <x:f>IF(H13="","",CEILING(H13/('Assumptions'!$C$6*(1-'Assumptions'!$C$7)),'Assumptions'!$C$10))</x:f>
      </x:c>
      <x:c r="N13" s="21" t="str">
        <x:f>IF(OR(C13=0,G13=0),"AWAITING DATA",IF(M13&gt;L13,"REVIEW WEIGHT","CALIBRATED"))</x:f>
        <x:v>AWAITING DATA</x:v>
      </x:c>
      <x:c r="O13" s="81"/>
      <x:c r="P13" s="81"/>
    </x:row>
    <x:row r="16" ht="24" customHeight="1">
      <x:c r="A16" s="10" t="str">
        <x:v>Calibration Coverage</x:v>
      </x:c>
      <x:c r="B16" s="10" t="str">
        <x:v>Calibration Coverage</x:v>
      </x:c>
      <x:c r="C16" s="10" t="str">
        <x:v>Calibration Coverage</x:v>
      </x:c>
      <x:c r="D16" s="10" t="str">
        <x:v>Calibration Coverage</x:v>
      </x:c>
      <x:c r="E16" s="10" t="str">
        <x:v>Calibration Coverage</x:v>
      </x:c>
      <x:c r="F16" s="10" t="str">
        <x:v>Calibration Coverage</x:v>
      </x:c>
      <x:c r="H16" s="130" t="str">
        <x:v>Production data mapping: actual actions should come from completed event counts; actual provider cost should come from model-cost records. Token averages are optional diagnostics. A zero or blank actual is treated as missing data, not as evidence of zero cost.</x:v>
      </x:c>
      <x:c r="I16" s="130"/>
      <x:c r="J16" s="130"/>
      <x:c r="K16" s="130"/>
      <x:c r="L16" s="130"/>
      <x:c r="M16" s="130"/>
      <x:c r="N16" s="130"/>
      <x:c r="O16" s="130"/>
      <x:c r="P16" s="130"/>
    </x:row>
    <x:row r="17">
      <x:c r="A17" s="22" t="str">
        <x:v>Metrics with actual usage</x:v>
      </x:c>
      <x:c r="B17" s="100" t="n">
        <x:f>COUNT(C6:C13)</x:f>
        <x:v>0</x:v>
      </x:c>
      <x:c r="H17" s="130"/>
      <x:c r="I17" s="130"/>
      <x:c r="J17" s="130"/>
      <x:c r="K17" s="130"/>
      <x:c r="L17" s="130"/>
      <x:c r="M17" s="130"/>
      <x:c r="N17" s="130"/>
      <x:c r="O17" s="130"/>
      <x:c r="P17" s="130"/>
    </x:row>
    <x:row r="18">
      <x:c r="A18" s="23" t="str">
        <x:v>Coverage</x:v>
      </x:c>
      <x:c r="B18" s="104" t="n">
        <x:f>B17/COUNTA(A6:A13)</x:f>
        <x:v>0</x:v>
      </x:c>
      <x:c r="H18" s="130"/>
      <x:c r="I18" s="130"/>
      <x:c r="J18" s="130"/>
      <x:c r="K18" s="130"/>
      <x:c r="L18" s="130"/>
      <x:c r="M18" s="130"/>
      <x:c r="N18" s="130"/>
      <x:c r="O18" s="130"/>
      <x:c r="P18" s="130"/>
    </x:row>
    <x:row r="19">
      <x:c r="A19" s="23" t="str">
        <x:v>Estimated total provider cost</x:v>
      </x:c>
      <x:c r="B19" s="83" t="n">
        <x:f>SUM(J6:J13)</x:f>
        <x:v>1008.8094596893873</x:v>
      </x:c>
      <x:c r="H19" s="130"/>
      <x:c r="I19" s="130"/>
      <x:c r="J19" s="130"/>
      <x:c r="K19" s="130"/>
      <x:c r="L19" s="130"/>
      <x:c r="M19" s="130"/>
      <x:c r="N19" s="130"/>
      <x:c r="O19" s="130"/>
      <x:c r="P19" s="130"/>
    </x:row>
    <x:row r="20">
      <x:c r="A20" s="24" t="str">
        <x:v>Actual provider cost supplied</x:v>
      </x:c>
      <x:c r="B20" s="84" t="n">
        <x:f>SUM(G6:G13)</x:f>
        <x:v>0</x:v>
      </x:c>
      <x:c r="H20" s="130"/>
      <x:c r="I20" s="130"/>
      <x:c r="J20" s="130"/>
      <x:c r="K20" s="130"/>
      <x:c r="L20" s="130"/>
      <x:c r="M20" s="130"/>
      <x:c r="N20" s="130"/>
      <x:c r="O20" s="130"/>
      <x:c r="P20" s="130"/>
    </x:row>
  </x:sheetData>
  <x:mergeCells>
    <x:mergeCell ref="A1:P1"/>
    <x:mergeCell ref="A2:P2"/>
    <x:mergeCell ref="A4:P4"/>
    <x:mergeCell ref="A16:F16"/>
    <x:mergeCell ref="H16:P16"/>
    <x:mergeCell ref="H17:P17"/>
    <x:mergeCell ref="H18:P18"/>
    <x:mergeCell ref="H19:P19"/>
    <x:mergeCell ref="H20:P20"/>
  </x:mergeCells>
  <x:conditionalFormatting sqref="N6:N13">
    <x:cfRule type="containsText" dxfId="15" priority="1" operator="containsText" text="CALIBRATED"/>
    <x:cfRule type="containsText" dxfId="16" priority="2" operator="containsText" text="REVIEW"/>
    <x:cfRule type="containsText" dxfId="17" priority="3" operator="containsText" text="AWAITING"/>
  </x:conditionalFormatting>
  <x:pageMargins left="0.7" right="0.7" top="0.75" bottom="0.75" header="0.3" footer="0.3"/>
</x:worksheet>
</file>